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24226"/>
  <mc:AlternateContent xmlns:mc="http://schemas.openxmlformats.org/markup-compatibility/2006">
    <mc:Choice Requires="x15">
      <x15ac:absPath xmlns:x15ac="http://schemas.microsoft.com/office/spreadsheetml/2010/11/ac" url="C:\Users\masato.nakazawa\Downloads\"/>
    </mc:Choice>
  </mc:AlternateContent>
  <xr:revisionPtr revIDLastSave="0" documentId="8_{9EB29C13-416F-44D6-96DD-D73310799F9C}" xr6:coauthVersionLast="47" xr6:coauthVersionMax="47" xr10:uidLastSave="{00000000-0000-0000-0000-000000000000}"/>
  <bookViews>
    <workbookView xWindow="-120" yWindow="-16320" windowWidth="29040" windowHeight="16440" tabRatio="545" xr2:uid="{00000000-000D-0000-FFFF-FFFF00000000}"/>
  </bookViews>
  <sheets>
    <sheet name="案件台帳" sheetId="64" r:id="rId1"/>
    <sheet name="Sheet1" sheetId="70" r:id="rId2"/>
    <sheet name="リスト" sheetId="60" r:id="rId3"/>
    <sheet name="➡参考" sheetId="69" r:id="rId4"/>
    <sheet name="【旧】案件台帳(抜粋)" sheetId="65" state="hidden" r:id="rId5"/>
    <sheet name="【旧】案件台帳(全量)" sheetId="68" r:id="rId6"/>
    <sheet name="作業中）論点整理" sheetId="66" state="hidden" r:id="rId7"/>
  </sheets>
  <externalReferences>
    <externalReference r:id="rId8"/>
  </externalReferences>
  <definedNames>
    <definedName name="_">"SECTION4"</definedName>
    <definedName name="________DAY01">#REF!</definedName>
    <definedName name="________DAY02">#REF!</definedName>
    <definedName name="________DAY03">#REF!</definedName>
    <definedName name="________DAY04">#REF!</definedName>
    <definedName name="________DAY05">#REF!</definedName>
    <definedName name="________DAY06">#REF!</definedName>
    <definedName name="________DAY07">#REF!</definedName>
    <definedName name="________DAY08">#REF!</definedName>
    <definedName name="________DAY09">#REF!</definedName>
    <definedName name="________DAY10">#REF!</definedName>
    <definedName name="________DAY11">#REF!</definedName>
    <definedName name="________DAY12">#REF!</definedName>
    <definedName name="________DAY13">#REF!</definedName>
    <definedName name="________DAY14">#REF!</definedName>
    <definedName name="________DAY15">#REF!</definedName>
    <definedName name="________DAY16">#REF!</definedName>
    <definedName name="_______DAY01">#REF!</definedName>
    <definedName name="_______DAY02">#REF!</definedName>
    <definedName name="_______DAY03">#REF!</definedName>
    <definedName name="_______DAY04">#REF!</definedName>
    <definedName name="_______DAY05">#REF!</definedName>
    <definedName name="_______DAY06">#REF!</definedName>
    <definedName name="_______DAY07">#REF!</definedName>
    <definedName name="_______DAY08">#REF!</definedName>
    <definedName name="_______DAY09">#REF!</definedName>
    <definedName name="_______DAY10">#REF!</definedName>
    <definedName name="_______DAY11">#REF!</definedName>
    <definedName name="_______DAY12">#REF!</definedName>
    <definedName name="_______DAY13">#REF!</definedName>
    <definedName name="_______DAY14">#REF!</definedName>
    <definedName name="_______DAY15">#REF!</definedName>
    <definedName name="_______DAY16">#REF!</definedName>
    <definedName name="______DAY01">#REF!</definedName>
    <definedName name="______DAY02">#REF!</definedName>
    <definedName name="______DAY03">#REF!</definedName>
    <definedName name="______DAY04">#REF!</definedName>
    <definedName name="______DAY05">#REF!</definedName>
    <definedName name="______DAY06">#REF!</definedName>
    <definedName name="______DAY07">#REF!</definedName>
    <definedName name="______DAY08">#REF!</definedName>
    <definedName name="______DAY09">#REF!</definedName>
    <definedName name="______DAY10">#REF!</definedName>
    <definedName name="______DAY11">#REF!</definedName>
    <definedName name="______DAY12">#REF!</definedName>
    <definedName name="______DAY13">#REF!</definedName>
    <definedName name="______DAY14">#REF!</definedName>
    <definedName name="______DAY15">#REF!</definedName>
    <definedName name="______DAY16">#REF!</definedName>
    <definedName name="_____DAY01">#REF!</definedName>
    <definedName name="_____DAY02">#REF!</definedName>
    <definedName name="_____DAY03">#REF!</definedName>
    <definedName name="_____DAY04">#REF!</definedName>
    <definedName name="_____DAY05">#REF!</definedName>
    <definedName name="_____DAY06">#REF!</definedName>
    <definedName name="_____DAY07">#REF!</definedName>
    <definedName name="_____DAY08">#REF!</definedName>
    <definedName name="_____DAY09">#REF!</definedName>
    <definedName name="_____DAY10">#REF!</definedName>
    <definedName name="_____DAY11">#REF!</definedName>
    <definedName name="_____DAY12">#REF!</definedName>
    <definedName name="_____DAY13">#REF!</definedName>
    <definedName name="_____DAY14">#REF!</definedName>
    <definedName name="_____DAY15">#REF!</definedName>
    <definedName name="_____DAY16">#REF!</definedName>
    <definedName name="____DAY01">#REF!</definedName>
    <definedName name="____DAY02">#REF!</definedName>
    <definedName name="____DAY03">#REF!</definedName>
    <definedName name="____DAY04">#REF!</definedName>
    <definedName name="____DAY05">#REF!</definedName>
    <definedName name="____DAY06">#REF!</definedName>
    <definedName name="____DAY07">#REF!</definedName>
    <definedName name="____DAY08">#REF!</definedName>
    <definedName name="____DAY09">#REF!</definedName>
    <definedName name="____DAY10">#REF!</definedName>
    <definedName name="____DAY11">#REF!</definedName>
    <definedName name="____DAY12">#REF!</definedName>
    <definedName name="____DAY13">#REF!</definedName>
    <definedName name="____DAY14">#REF!</definedName>
    <definedName name="____DAY15">#REF!</definedName>
    <definedName name="____DAY16">#REF!</definedName>
    <definedName name="___DAY01">#REF!</definedName>
    <definedName name="___DAY02">#REF!</definedName>
    <definedName name="___DAY03">#REF!</definedName>
    <definedName name="___DAY04">#REF!</definedName>
    <definedName name="___DAY05">#REF!</definedName>
    <definedName name="___DAY06">#REF!</definedName>
    <definedName name="___DAY07">#REF!</definedName>
    <definedName name="___DAY08">#REF!</definedName>
    <definedName name="___DAY09">#REF!</definedName>
    <definedName name="___DAY10">#REF!</definedName>
    <definedName name="___DAY11">#REF!</definedName>
    <definedName name="___DAY12">#REF!</definedName>
    <definedName name="___DAY13">#REF!</definedName>
    <definedName name="___DAY14">#REF!</definedName>
    <definedName name="___DAY15">#REF!</definedName>
    <definedName name="___DAY16">#REF!</definedName>
    <definedName name="__123Graph_A" hidden="1">#REF!</definedName>
    <definedName name="__123Graph_B" hidden="1">#REF!</definedName>
    <definedName name="__123Graph_LBL_A" hidden="1">#REF!</definedName>
    <definedName name="__123Graph_LBL_B" hidden="1">#REF!</definedName>
    <definedName name="__123Graph_X" hidden="1">#REF!</definedName>
    <definedName name="__DAY01">#REF!</definedName>
    <definedName name="__DAY02">#REF!</definedName>
    <definedName name="__DAY03">#REF!</definedName>
    <definedName name="__DAY04">#REF!</definedName>
    <definedName name="__DAY05">#REF!</definedName>
    <definedName name="__DAY06">#REF!</definedName>
    <definedName name="__DAY07">#REF!</definedName>
    <definedName name="__DAY08">#REF!</definedName>
    <definedName name="__DAY09">#REF!</definedName>
    <definedName name="__DAY10">#REF!</definedName>
    <definedName name="__DAY11">#REF!</definedName>
    <definedName name="__DAY12">#REF!</definedName>
    <definedName name="__DAY13">#REF!</definedName>
    <definedName name="__DAY14">#REF!</definedName>
    <definedName name="__DAY15">#REF!</definedName>
    <definedName name="__DAY16">#REF!</definedName>
    <definedName name="__db2">#REF!</definedName>
    <definedName name="__X1" localSheetId="5" hidden="1">{#N/A,#N/A,FALSE,"勤管理原"}</definedName>
    <definedName name="__X1" localSheetId="4" hidden="1">{#N/A,#N/A,FALSE,"勤管理原"}</definedName>
    <definedName name="__X1" localSheetId="0" hidden="1">{#N/A,#N/A,FALSE,"勤管理原"}</definedName>
    <definedName name="__X1" hidden="1">{#N/A,#N/A,FALSE,"勤管理原"}</definedName>
    <definedName name="__X10" localSheetId="5" hidden="1">{#N/A,#N/A,FALSE,"勤管理原"}</definedName>
    <definedName name="__X10" localSheetId="4" hidden="1">{#N/A,#N/A,FALSE,"勤管理原"}</definedName>
    <definedName name="__X10" localSheetId="0" hidden="1">{#N/A,#N/A,FALSE,"勤管理原"}</definedName>
    <definedName name="__X10" hidden="1">{#N/A,#N/A,FALSE,"勤管理原"}</definedName>
    <definedName name="__X11" localSheetId="5" hidden="1">{#N/A,#N/A,FALSE,"勤管理原"}</definedName>
    <definedName name="__X11" localSheetId="4" hidden="1">{#N/A,#N/A,FALSE,"勤管理原"}</definedName>
    <definedName name="__X11" localSheetId="0" hidden="1">{#N/A,#N/A,FALSE,"勤管理原"}</definedName>
    <definedName name="__X11" hidden="1">{#N/A,#N/A,FALSE,"勤管理原"}</definedName>
    <definedName name="__X12" localSheetId="5" hidden="1">{#N/A,#N/A,FALSE,"勤管理原"}</definedName>
    <definedName name="__X12" localSheetId="4" hidden="1">{#N/A,#N/A,FALSE,"勤管理原"}</definedName>
    <definedName name="__X12" localSheetId="0" hidden="1">{#N/A,#N/A,FALSE,"勤管理原"}</definedName>
    <definedName name="__X12" hidden="1">{#N/A,#N/A,FALSE,"勤管理原"}</definedName>
    <definedName name="__X13" localSheetId="5" hidden="1">{#N/A,#N/A,FALSE,"勤管理原"}</definedName>
    <definedName name="__X13" localSheetId="4" hidden="1">{#N/A,#N/A,FALSE,"勤管理原"}</definedName>
    <definedName name="__X13" localSheetId="0" hidden="1">{#N/A,#N/A,FALSE,"勤管理原"}</definedName>
    <definedName name="__X13" hidden="1">{#N/A,#N/A,FALSE,"勤管理原"}</definedName>
    <definedName name="__X14" localSheetId="5" hidden="1">{#N/A,#N/A,FALSE,"勤管理原"}</definedName>
    <definedName name="__X14" localSheetId="4" hidden="1">{#N/A,#N/A,FALSE,"勤管理原"}</definedName>
    <definedName name="__X14" localSheetId="0" hidden="1">{#N/A,#N/A,FALSE,"勤管理原"}</definedName>
    <definedName name="__X14" hidden="1">{#N/A,#N/A,FALSE,"勤管理原"}</definedName>
    <definedName name="__X2" localSheetId="5" hidden="1">{#N/A,#N/A,FALSE,"勤管理原"}</definedName>
    <definedName name="__X2" localSheetId="4" hidden="1">{#N/A,#N/A,FALSE,"勤管理原"}</definedName>
    <definedName name="__X2" localSheetId="0" hidden="1">{#N/A,#N/A,FALSE,"勤管理原"}</definedName>
    <definedName name="__X2" hidden="1">{#N/A,#N/A,FALSE,"勤管理原"}</definedName>
    <definedName name="__X3" localSheetId="5" hidden="1">{#N/A,#N/A,FALSE,"勤管理原"}</definedName>
    <definedName name="__X3" localSheetId="4" hidden="1">{#N/A,#N/A,FALSE,"勤管理原"}</definedName>
    <definedName name="__X3" localSheetId="0" hidden="1">{#N/A,#N/A,FALSE,"勤管理原"}</definedName>
    <definedName name="__X3" hidden="1">{#N/A,#N/A,FALSE,"勤管理原"}</definedName>
    <definedName name="__X4" localSheetId="5" hidden="1">{#N/A,#N/A,FALSE,"勤管理原"}</definedName>
    <definedName name="__X4" localSheetId="4" hidden="1">{#N/A,#N/A,FALSE,"勤管理原"}</definedName>
    <definedName name="__X4" localSheetId="0" hidden="1">{#N/A,#N/A,FALSE,"勤管理原"}</definedName>
    <definedName name="__X4" hidden="1">{#N/A,#N/A,FALSE,"勤管理原"}</definedName>
    <definedName name="__X5" localSheetId="5" hidden="1">{#N/A,#N/A,FALSE,"勤管理原"}</definedName>
    <definedName name="__X5" localSheetId="4" hidden="1">{#N/A,#N/A,FALSE,"勤管理原"}</definedName>
    <definedName name="__X5" localSheetId="0" hidden="1">{#N/A,#N/A,FALSE,"勤管理原"}</definedName>
    <definedName name="__X5" hidden="1">{#N/A,#N/A,FALSE,"勤管理原"}</definedName>
    <definedName name="__X6" localSheetId="5" hidden="1">{#N/A,#N/A,FALSE,"勤管理原"}</definedName>
    <definedName name="__X6" localSheetId="4" hidden="1">{#N/A,#N/A,FALSE,"勤管理原"}</definedName>
    <definedName name="__X6" localSheetId="0" hidden="1">{#N/A,#N/A,FALSE,"勤管理原"}</definedName>
    <definedName name="__X6" hidden="1">{#N/A,#N/A,FALSE,"勤管理原"}</definedName>
    <definedName name="__X7" localSheetId="5" hidden="1">{#N/A,#N/A,FALSE,"勤管理原"}</definedName>
    <definedName name="__X7" localSheetId="4" hidden="1">{#N/A,#N/A,FALSE,"勤管理原"}</definedName>
    <definedName name="__X7" localSheetId="0" hidden="1">{#N/A,#N/A,FALSE,"勤管理原"}</definedName>
    <definedName name="__X7" hidden="1">{#N/A,#N/A,FALSE,"勤管理原"}</definedName>
    <definedName name="__X8" localSheetId="5" hidden="1">{#N/A,#N/A,FALSE,"勤管理原"}</definedName>
    <definedName name="__X8" localSheetId="4" hidden="1">{#N/A,#N/A,FALSE,"勤管理原"}</definedName>
    <definedName name="__X8" localSheetId="0" hidden="1">{#N/A,#N/A,FALSE,"勤管理原"}</definedName>
    <definedName name="__X8" hidden="1">{#N/A,#N/A,FALSE,"勤管理原"}</definedName>
    <definedName name="__X9" localSheetId="5" hidden="1">{#N/A,#N/A,FALSE,"勤管理原"}</definedName>
    <definedName name="__X9" localSheetId="4" hidden="1">{#N/A,#N/A,FALSE,"勤管理原"}</definedName>
    <definedName name="__X9" localSheetId="0" hidden="1">{#N/A,#N/A,FALSE,"勤管理原"}</definedName>
    <definedName name="__X9" hidden="1">{#N/A,#N/A,FALSE,"勤管理原"}</definedName>
    <definedName name="_1234" hidden="1">#REF!</definedName>
    <definedName name="_12345" hidden="1">#REF!</definedName>
    <definedName name="_123456" hidden="1">#REF!</definedName>
    <definedName name="_12345p" hidden="1">#REF!</definedName>
    <definedName name="_1234a" hidden="1">#REF!</definedName>
    <definedName name="_1234aaaa" hidden="1">#REF!</definedName>
    <definedName name="_1234abc" hidden="1">#REF!</definedName>
    <definedName name="_1a1_">#REF!</definedName>
    <definedName name="_1ppp" hidden="1">#REF!</definedName>
    <definedName name="_2Regressio" hidden="1">#REF!</definedName>
    <definedName name="_5作業計画出力">#REF!</definedName>
    <definedName name="_91同居共配ギフト実績得意先">#REF!</definedName>
    <definedName name="_Aa" hidden="1">#REF!</definedName>
    <definedName name="_abc" hidden="1">#REF!</definedName>
    <definedName name="_ctb１">#REF!</definedName>
    <definedName name="_DAY01">#REF!</definedName>
    <definedName name="_DAY02">#REF!</definedName>
    <definedName name="_DAY03">#REF!</definedName>
    <definedName name="_DAY04">#REF!</definedName>
    <definedName name="_DAY05">#REF!</definedName>
    <definedName name="_DAY06">#REF!</definedName>
    <definedName name="_DAY07">#REF!</definedName>
    <definedName name="_DAY08">#REF!</definedName>
    <definedName name="_DAY09">#REF!</definedName>
    <definedName name="_DAY10">#REF!</definedName>
    <definedName name="_DAY11">#REF!</definedName>
    <definedName name="_DAY12">#REF!</definedName>
    <definedName name="_DAY13">#REF!</definedName>
    <definedName name="_DAY14">#REF!</definedName>
    <definedName name="_DAY15">#REF!</definedName>
    <definedName name="_DAY16">#REF!</definedName>
    <definedName name="_DD0507">#REF!</definedName>
    <definedName name="_Fill" hidden="1">#REF!</definedName>
    <definedName name="_xlnm._FilterDatabase" localSheetId="5" hidden="1">'【旧】案件台帳(全量)'!$A$3:$AP$179</definedName>
    <definedName name="_xlnm._FilterDatabase" localSheetId="4" hidden="1">'【旧】案件台帳(抜粋)'!$A$3:$AO$19</definedName>
    <definedName name="_xlnm._FilterDatabase" localSheetId="0" hidden="1">案件台帳!$A$4:$AM$4</definedName>
    <definedName name="_xlnm._FilterDatabase" hidden="1">#REF!</definedName>
    <definedName name="_Key1" hidden="1">#REF!</definedName>
    <definedName name="_key11" hidden="1">#REF!</definedName>
    <definedName name="_Key2" hidden="1">#REF!</definedName>
    <definedName name="_Key22" hidden="1">#REF!</definedName>
    <definedName name="_Key3" hidden="1">#REF!</definedName>
    <definedName name="_Key33" hidden="1">#REF!</definedName>
    <definedName name="_Key444" hidden="1">#REF!</definedName>
    <definedName name="_Order1" hidden="1">255</definedName>
    <definedName name="_Order2" hidden="1">255</definedName>
    <definedName name="_Parse_In" hidden="1">#REF!</definedName>
    <definedName name="_Parse_Out" hidden="1">#REF!</definedName>
    <definedName name="_Regression_Int" hidden="1">1</definedName>
    <definedName name="_Regression_X" hidden="1">#REF!</definedName>
    <definedName name="_SN01">#REF!</definedName>
    <definedName name="_SN011">#REF!</definedName>
    <definedName name="_SN02">#REF!</definedName>
    <definedName name="_SN05">#REF!</definedName>
    <definedName name="_SN08">#REF!</definedName>
    <definedName name="_SN09">#REF!</definedName>
    <definedName name="_SN10">#REF!</definedName>
    <definedName name="_Sort" hidden="1">#REF!</definedName>
    <definedName name="_WCK1">#REF!</definedName>
    <definedName name="_WCK2">#REF!</definedName>
    <definedName name="_WK01">#REF!</definedName>
    <definedName name="_WK02">#REF!</definedName>
    <definedName name="_WK03">#REF!</definedName>
    <definedName name="_WK04">#REF!</definedName>
    <definedName name="_WK05">#REF!</definedName>
    <definedName name="_WK06">#REF!</definedName>
    <definedName name="_WK07">#REF!</definedName>
    <definedName name="_WK08">#REF!</definedName>
    <definedName name="_WK09">#REF!</definedName>
    <definedName name="_WK10">#REF!</definedName>
    <definedName name="_WK11">#REF!</definedName>
    <definedName name="_WK12">#REF!</definedName>
    <definedName name="_WK13">#REF!</definedName>
    <definedName name="_WK14">#REF!</definedName>
    <definedName name="_WK15">#REF!</definedName>
    <definedName name="_WK16">#REF!</definedName>
    <definedName name="_WK17">#REF!</definedName>
    <definedName name="_X1" localSheetId="5" hidden="1">{#N/A,#N/A,FALSE,"勤管理原"}</definedName>
    <definedName name="_X1" localSheetId="4" hidden="1">{#N/A,#N/A,FALSE,"勤管理原"}</definedName>
    <definedName name="_X1" localSheetId="0" hidden="1">{#N/A,#N/A,FALSE,"勤管理原"}</definedName>
    <definedName name="_X1" hidden="1">{#N/A,#N/A,FALSE,"勤管理原"}</definedName>
    <definedName name="_X10" localSheetId="5" hidden="1">{#N/A,#N/A,FALSE,"勤管理原"}</definedName>
    <definedName name="_X10" localSheetId="4" hidden="1">{#N/A,#N/A,FALSE,"勤管理原"}</definedName>
    <definedName name="_X10" localSheetId="0" hidden="1">{#N/A,#N/A,FALSE,"勤管理原"}</definedName>
    <definedName name="_X10" hidden="1">{#N/A,#N/A,FALSE,"勤管理原"}</definedName>
    <definedName name="_X11" localSheetId="5" hidden="1">{#N/A,#N/A,FALSE,"勤管理原"}</definedName>
    <definedName name="_X11" localSheetId="4" hidden="1">{#N/A,#N/A,FALSE,"勤管理原"}</definedName>
    <definedName name="_X11" localSheetId="0" hidden="1">{#N/A,#N/A,FALSE,"勤管理原"}</definedName>
    <definedName name="_X11" hidden="1">{#N/A,#N/A,FALSE,"勤管理原"}</definedName>
    <definedName name="_X12" localSheetId="5" hidden="1">{#N/A,#N/A,FALSE,"勤管理原"}</definedName>
    <definedName name="_X12" localSheetId="4" hidden="1">{#N/A,#N/A,FALSE,"勤管理原"}</definedName>
    <definedName name="_X12" localSheetId="0" hidden="1">{#N/A,#N/A,FALSE,"勤管理原"}</definedName>
    <definedName name="_X12" hidden="1">{#N/A,#N/A,FALSE,"勤管理原"}</definedName>
    <definedName name="_X13" localSheetId="5" hidden="1">{#N/A,#N/A,FALSE,"勤管理原"}</definedName>
    <definedName name="_X13" localSheetId="4" hidden="1">{#N/A,#N/A,FALSE,"勤管理原"}</definedName>
    <definedName name="_X13" localSheetId="0" hidden="1">{#N/A,#N/A,FALSE,"勤管理原"}</definedName>
    <definedName name="_X13" hidden="1">{#N/A,#N/A,FALSE,"勤管理原"}</definedName>
    <definedName name="_X14" localSheetId="5" hidden="1">{#N/A,#N/A,FALSE,"勤管理原"}</definedName>
    <definedName name="_X14" localSheetId="4" hidden="1">{#N/A,#N/A,FALSE,"勤管理原"}</definedName>
    <definedName name="_X14" localSheetId="0" hidden="1">{#N/A,#N/A,FALSE,"勤管理原"}</definedName>
    <definedName name="_X14" hidden="1">{#N/A,#N/A,FALSE,"勤管理原"}</definedName>
    <definedName name="_X2" localSheetId="5" hidden="1">{#N/A,#N/A,FALSE,"勤管理原"}</definedName>
    <definedName name="_X2" localSheetId="4" hidden="1">{#N/A,#N/A,FALSE,"勤管理原"}</definedName>
    <definedName name="_X2" localSheetId="0" hidden="1">{#N/A,#N/A,FALSE,"勤管理原"}</definedName>
    <definedName name="_X2" hidden="1">{#N/A,#N/A,FALSE,"勤管理原"}</definedName>
    <definedName name="_X3" localSheetId="5" hidden="1">{#N/A,#N/A,FALSE,"勤管理原"}</definedName>
    <definedName name="_X3" localSheetId="4" hidden="1">{#N/A,#N/A,FALSE,"勤管理原"}</definedName>
    <definedName name="_X3" localSheetId="0" hidden="1">{#N/A,#N/A,FALSE,"勤管理原"}</definedName>
    <definedName name="_X3" hidden="1">{#N/A,#N/A,FALSE,"勤管理原"}</definedName>
    <definedName name="_X4" localSheetId="5" hidden="1">{#N/A,#N/A,FALSE,"勤管理原"}</definedName>
    <definedName name="_X4" localSheetId="4" hidden="1">{#N/A,#N/A,FALSE,"勤管理原"}</definedName>
    <definedName name="_X4" localSheetId="0" hidden="1">{#N/A,#N/A,FALSE,"勤管理原"}</definedName>
    <definedName name="_X4" hidden="1">{#N/A,#N/A,FALSE,"勤管理原"}</definedName>
    <definedName name="_X5" localSheetId="5" hidden="1">{#N/A,#N/A,FALSE,"勤管理原"}</definedName>
    <definedName name="_X5" localSheetId="4" hidden="1">{#N/A,#N/A,FALSE,"勤管理原"}</definedName>
    <definedName name="_X5" localSheetId="0" hidden="1">{#N/A,#N/A,FALSE,"勤管理原"}</definedName>
    <definedName name="_X5" hidden="1">{#N/A,#N/A,FALSE,"勤管理原"}</definedName>
    <definedName name="_X6" localSheetId="5" hidden="1">{#N/A,#N/A,FALSE,"勤管理原"}</definedName>
    <definedName name="_X6" localSheetId="4" hidden="1">{#N/A,#N/A,FALSE,"勤管理原"}</definedName>
    <definedName name="_X6" localSheetId="0" hidden="1">{#N/A,#N/A,FALSE,"勤管理原"}</definedName>
    <definedName name="_X6" hidden="1">{#N/A,#N/A,FALSE,"勤管理原"}</definedName>
    <definedName name="_X7" localSheetId="5" hidden="1">{#N/A,#N/A,FALSE,"勤管理原"}</definedName>
    <definedName name="_X7" localSheetId="4" hidden="1">{#N/A,#N/A,FALSE,"勤管理原"}</definedName>
    <definedName name="_X7" localSheetId="0" hidden="1">{#N/A,#N/A,FALSE,"勤管理原"}</definedName>
    <definedName name="_X7" hidden="1">{#N/A,#N/A,FALSE,"勤管理原"}</definedName>
    <definedName name="_X8" localSheetId="5" hidden="1">{#N/A,#N/A,FALSE,"勤管理原"}</definedName>
    <definedName name="_X8" localSheetId="4" hidden="1">{#N/A,#N/A,FALSE,"勤管理原"}</definedName>
    <definedName name="_X8" localSheetId="0" hidden="1">{#N/A,#N/A,FALSE,"勤管理原"}</definedName>
    <definedName name="_X8" hidden="1">{#N/A,#N/A,FALSE,"勤管理原"}</definedName>
    <definedName name="_X9" localSheetId="5" hidden="1">{#N/A,#N/A,FALSE,"勤管理原"}</definedName>
    <definedName name="_X9" localSheetId="4" hidden="1">{#N/A,#N/A,FALSE,"勤管理原"}</definedName>
    <definedName name="_X9" localSheetId="0" hidden="1">{#N/A,#N/A,FALSE,"勤管理原"}</definedName>
    <definedName name="_X9" hidden="1">{#N/A,#N/A,FALSE,"勤管理原"}</definedName>
    <definedName name="・１">#REF!</definedName>
    <definedName name="a">#REF!</definedName>
    <definedName name="aa" localSheetId="5" hidden="1">{"月例報告",#N/A,FALSE,"STB"}</definedName>
    <definedName name="aa" localSheetId="4" hidden="1">{"月例報告",#N/A,FALSE,"STB"}</definedName>
    <definedName name="aa" localSheetId="0" hidden="1">{"月例報告",#N/A,FALSE,"STB"}</definedName>
    <definedName name="aa" hidden="1">{"月例報告",#N/A,FALSE,"STB"}</definedName>
    <definedName name="aaa">#REF!</definedName>
    <definedName name="aaaa">#REF!</definedName>
    <definedName name="aaaaa">#REF!</definedName>
    <definedName name="aaaaaa" hidden="1">#REF!</definedName>
    <definedName name="aaaaaaaa" hidden="1">#REF!</definedName>
    <definedName name="aas" localSheetId="5" hidden="1">{#N/A,#N/A,FALSE,"勤管理原"}</definedName>
    <definedName name="aas" localSheetId="4" hidden="1">{#N/A,#N/A,FALSE,"勤管理原"}</definedName>
    <definedName name="aas" localSheetId="0" hidden="1">{#N/A,#N/A,FALSE,"勤管理原"}</definedName>
    <definedName name="aas" hidden="1">{#N/A,#N/A,FALSE,"勤管理原"}</definedName>
    <definedName name="aax" localSheetId="5" hidden="1">{#N/A,#N/A,FALSE,"勤管理原"}</definedName>
    <definedName name="aax" localSheetId="4" hidden="1">{#N/A,#N/A,FALSE,"勤管理原"}</definedName>
    <definedName name="aax" localSheetId="0" hidden="1">{#N/A,#N/A,FALSE,"勤管理原"}</definedName>
    <definedName name="aax" hidden="1">{#N/A,#N/A,FALSE,"勤管理原"}</definedName>
    <definedName name="abc" hidden="1">#REF!</definedName>
    <definedName name="AccessDatabase" hidden="1">"C:\Documents and Settings\kawana.OHSAKI\My Documents\作業中\ＤＢらいぶらり.mdb"</definedName>
    <definedName name="AccessInput">#REF!</definedName>
    <definedName name="AccessOutput">#REF!</definedName>
    <definedName name="ＡＫ焼酎入力シート伊藤様">#REF!</definedName>
    <definedName name="all_data" localSheetId="5">'【旧】案件台帳(全量)'!all_data</definedName>
    <definedName name="all_data" localSheetId="4">'【旧】案件台帳(抜粋)'!all_data</definedName>
    <definedName name="all_data" localSheetId="0">案件台帳!all_data</definedName>
    <definedName name="all_data">'[1]12月リリース案件'!all_data</definedName>
    <definedName name="ANS">#REF!</definedName>
    <definedName name="asd" hidden="1">#REF!</definedName>
    <definedName name="attr_nam">#REF!</definedName>
    <definedName name="b">#REF!</definedName>
    <definedName name="B1L">#REF!</definedName>
    <definedName name="BASE">#REF!</definedName>
    <definedName name="BASE2">#REF!</definedName>
    <definedName name="BASE３">#REF!</definedName>
    <definedName name="bb">#REF!</definedName>
    <definedName name="bbb">#REF!</definedName>
    <definedName name="BLPH1" hidden="1">#REF!</definedName>
    <definedName name="Ｂ自入金比率">#REF!</definedName>
    <definedName name="cal_index_size">#REF!</definedName>
    <definedName name="cal_table_size">#REF!</definedName>
    <definedName name="cc">#REF!</definedName>
    <definedName name="ccc">#REF!</definedName>
    <definedName name="ｃｃｃｃ">#REF!</definedName>
    <definedName name="ｃｃｃｃｃｃ">#REF!</definedName>
    <definedName name="ｃｃｃｃｃｃｃｃｃｃｃｃ">#REF!</definedName>
    <definedName name="ｃｄｄ">#REF!</definedName>
    <definedName name="Ｃｅｌｌ">#REF!</definedName>
    <definedName name="Cell100">#REF!</definedName>
    <definedName name="Cell101">#REF!</definedName>
    <definedName name="Cell102">#REF!</definedName>
    <definedName name="Cell103">#REF!</definedName>
    <definedName name="Cell282">#REF!</definedName>
    <definedName name="Cell287">#REF!</definedName>
    <definedName name="Cell288">#REF!</definedName>
    <definedName name="Cell289">#REF!</definedName>
    <definedName name="Cell29">#REF!</definedName>
    <definedName name="Cell290">#REF!</definedName>
    <definedName name="Cell291">#REF!</definedName>
    <definedName name="Cell292">#REF!</definedName>
    <definedName name="Cell293">#REF!</definedName>
    <definedName name="Cell294">#REF!</definedName>
    <definedName name="Cell295">#REF!</definedName>
    <definedName name="Cell296">#REF!</definedName>
    <definedName name="Cell297">#REF!</definedName>
    <definedName name="Cell298">#REF!</definedName>
    <definedName name="Cell298A">#REF!</definedName>
    <definedName name="Cell298B">#REF!</definedName>
    <definedName name="Cell299">#REF!</definedName>
    <definedName name="Cell299A">#REF!</definedName>
    <definedName name="Cell299B">#REF!</definedName>
    <definedName name="Cell3">#REF!</definedName>
    <definedName name="Cell30">#REF!</definedName>
    <definedName name="Cell300">#REF!</definedName>
    <definedName name="Cell301">#REF!</definedName>
    <definedName name="Cell302">#REF!</definedName>
    <definedName name="Cell303">#REF!</definedName>
    <definedName name="Cell304">#REF!</definedName>
    <definedName name="Cell305">#REF!</definedName>
    <definedName name="Cell306">#REF!</definedName>
    <definedName name="Cell307">#REF!</definedName>
    <definedName name="Cell308">#REF!</definedName>
    <definedName name="Cell309">#REF!</definedName>
    <definedName name="Cell31">#REF!</definedName>
    <definedName name="Cell32">#REF!</definedName>
    <definedName name="Cell33">#REF!</definedName>
    <definedName name="Cell34">#REF!</definedName>
    <definedName name="Cell35">#REF!</definedName>
    <definedName name="Cell36">#REF!</definedName>
    <definedName name="Cell37">#REF!</definedName>
    <definedName name="Cell38">#REF!</definedName>
    <definedName name="Cell39">#REF!</definedName>
    <definedName name="Cell4">#REF!</definedName>
    <definedName name="Cell40">#REF!</definedName>
    <definedName name="Cell41">#REF!</definedName>
    <definedName name="Cell42">#REF!</definedName>
    <definedName name="Cell43">#REF!</definedName>
    <definedName name="Cell44">#REF!</definedName>
    <definedName name="Cell45">#REF!</definedName>
    <definedName name="Cell46">#REF!</definedName>
    <definedName name="Cell47">#REF!</definedName>
    <definedName name="Cell48">#REF!</definedName>
    <definedName name="Cell49">#REF!</definedName>
    <definedName name="Cell5">#REF!</definedName>
    <definedName name="Cell50">#REF!</definedName>
    <definedName name="Cell51">#REF!</definedName>
    <definedName name="Cell52">#REF!</definedName>
    <definedName name="Cell53">#REF!</definedName>
    <definedName name="Cell54">#REF!</definedName>
    <definedName name="Cell55">#REF!</definedName>
    <definedName name="Cell56">#REF!</definedName>
    <definedName name="Cell57">#REF!</definedName>
    <definedName name="Cell58">#REF!</definedName>
    <definedName name="Cell59">#REF!</definedName>
    <definedName name="Cell5A">#REF!</definedName>
    <definedName name="Cell5B">#REF!</definedName>
    <definedName name="Cell6">#REF!</definedName>
    <definedName name="Cell60">#REF!</definedName>
    <definedName name="Cell61">#REF!</definedName>
    <definedName name="Cell62">#REF!</definedName>
    <definedName name="Cell63">#REF!</definedName>
    <definedName name="Cell64">#REF!</definedName>
    <definedName name="Cell65">#REF!</definedName>
    <definedName name="Cell66">#REF!</definedName>
    <definedName name="Cell67">#REF!</definedName>
    <definedName name="Cell68">#REF!</definedName>
    <definedName name="Cell69">#REF!</definedName>
    <definedName name="Cell7">#REF!</definedName>
    <definedName name="Cell70">#REF!</definedName>
    <definedName name="Cell71">#REF!</definedName>
    <definedName name="Cell72">#REF!</definedName>
    <definedName name="Cell73">#REF!</definedName>
    <definedName name="Cell74">#REF!</definedName>
    <definedName name="Cell75">#REF!</definedName>
    <definedName name="Cell76">#REF!</definedName>
    <definedName name="Cell77">#REF!</definedName>
    <definedName name="Cell78">#REF!</definedName>
    <definedName name="Cell79">#REF!</definedName>
    <definedName name="Cell8">#REF!</definedName>
    <definedName name="Cell80">#REF!</definedName>
    <definedName name="Cell81">#REF!</definedName>
    <definedName name="Cell82">#REF!</definedName>
    <definedName name="Cell83">#REF!</definedName>
    <definedName name="Cell84">#REF!</definedName>
    <definedName name="Cell85">#REF!</definedName>
    <definedName name="Cell86">#REF!</definedName>
    <definedName name="Cell87">#REF!</definedName>
    <definedName name="Cell88">#REF!</definedName>
    <definedName name="Cell89">#REF!</definedName>
    <definedName name="Cell9">#REF!</definedName>
    <definedName name="Cell90">#REF!</definedName>
    <definedName name="Cell91">#REF!</definedName>
    <definedName name="Cell92">#REF!</definedName>
    <definedName name="Cell93">#REF!</definedName>
    <definedName name="Cell94">#REF!</definedName>
    <definedName name="Cell95">#REF!</definedName>
    <definedName name="Cell96">#REF!</definedName>
    <definedName name="Cell97">#REF!</definedName>
    <definedName name="Cell98">#REF!</definedName>
    <definedName name="Cell99">#REF!</definedName>
    <definedName name="Cell宛先ﾁｰﾑ">#REF!</definedName>
    <definedName name="Cell宛先者">#REF!</definedName>
    <definedName name="Cell完了日">#REF!</definedName>
    <definedName name="Cell期限">#REF!</definedName>
    <definedName name="Cell起票ﾁｰﾑ">#REF!</definedName>
    <definedName name="Cell起票者">#REF!</definedName>
    <definedName name="Cell件名">#REF!</definedName>
    <definedName name="Cell状況">#REF!</definedName>
    <definedName name="Cell対応者">#REF!</definedName>
    <definedName name="Cell対応日">#REF!</definedName>
    <definedName name="Cell通過">#REF!</definedName>
    <definedName name="Cell発行日">#REF!</definedName>
    <definedName name="Cell備考">#REF!</definedName>
    <definedName name="CHARTYPELIST">#REF!</definedName>
    <definedName name="chartypelist2">#REF!</definedName>
    <definedName name="CIQWBGuid" hidden="1">"1b7ba1cc-723f-4161-8f66-3a332befdc7b"</definedName>
    <definedName name="City">#REF!</definedName>
    <definedName name="City2">#REF!</definedName>
    <definedName name="Clear_Area">#REF!,#REF!,#REF!,#REF!,#REF!,#REF!,#REF!</definedName>
    <definedName name="COLACCURACYLIST">#REF!</definedName>
    <definedName name="COLDATATYPELIST">#REF!</definedName>
    <definedName name="COLDDNOLIST">#REF!</definedName>
    <definedName name="COLDEFAULTLIST">#REF!</definedName>
    <definedName name="COLNAMELIST">#REF!</definedName>
    <definedName name="COLPLACELIST">#REF!</definedName>
    <definedName name="Comp1">#REF!</definedName>
    <definedName name="Comp2">#REF!</definedName>
    <definedName name="Comp3">#REF!</definedName>
    <definedName name="Companies_B22">#REF!</definedName>
    <definedName name="Companies_C22">#REF!</definedName>
    <definedName name="Companies_D22">#REF!</definedName>
    <definedName name="Company">#REF!</definedName>
    <definedName name="CompanyList">#REF!</definedName>
    <definedName name="Contact01">#REF!</definedName>
    <definedName name="Contactperson">#REF!</definedName>
    <definedName name="CONTROL_DISP">#REF!</definedName>
    <definedName name="CoverLetterAccountNumber">#REF!</definedName>
    <definedName name="CoverLetterBank">#REF!</definedName>
    <definedName name="CoverLetterBranch">#REF!</definedName>
    <definedName name="CoverLetterContacts">#REF!</definedName>
    <definedName name="CoverLetterSavingChecking">#REF!</definedName>
    <definedName name="CTLGP">#REF!</definedName>
    <definedName name="CTV_CLOSE">#REF!</definedName>
    <definedName name="CTV_DATA_SAVE">#REF!</definedName>
    <definedName name="CTV_DATA_SEARCH">#REF!</definedName>
    <definedName name="CULC.cal_index_size">#REF!</definedName>
    <definedName name="CURD">#REF!</definedName>
    <definedName name="D">#REF!</definedName>
    <definedName name="dai">#REF!</definedName>
    <definedName name="Data">#REF!</definedName>
    <definedName name="_xlnm.Database">#REF!</definedName>
    <definedName name="Database2">#REF!,#REF!</definedName>
    <definedName name="DataName">#REF!</definedName>
    <definedName name="DATATYPELIST">#REF!</definedName>
    <definedName name="DateFromNonPerm">#REF!</definedName>
    <definedName name="DateFromNonRes">#REF!</definedName>
    <definedName name="DateFromPerm">#REF!</definedName>
    <definedName name="Datenonrenletter">#REF!</definedName>
    <definedName name="DateNonresletter">#REF!</definedName>
    <definedName name="DateofBirth">#REF!</definedName>
    <definedName name="DateofDepart">#REF!</definedName>
    <definedName name="DateofEntry">#REF!</definedName>
    <definedName name="DateOfLetter">#REF!</definedName>
    <definedName name="DateofTALetter">#REF!</definedName>
    <definedName name="DateToCompare">#REF!</definedName>
    <definedName name="DateToNonPerm">#REF!</definedName>
    <definedName name="DateToNonRes">#REF!</definedName>
    <definedName name="DateToPerm">#REF!</definedName>
    <definedName name="DB_BLOCK_SIZE">#REF!</definedName>
    <definedName name="DBPARTNER" localSheetId="5" hidden="1">{"'2.3 NT(ｱｶｳﾝﾄ)基本方針2'!$A$1:$AN$62"}</definedName>
    <definedName name="DBPARTNER" localSheetId="4" hidden="1">{"'2.3 NT(ｱｶｳﾝﾄ)基本方針2'!$A$1:$AN$62"}</definedName>
    <definedName name="DBPARTNER" localSheetId="0" hidden="1">{"'2.3 NT(ｱｶｳﾝﾄ)基本方針2'!$A$1:$AN$62"}</definedName>
    <definedName name="DBPARTNER" hidden="1">{"'2.3 NT(ｱｶｳﾝﾄ)基本方針2'!$A$1:$AN$62"}</definedName>
    <definedName name="DDCHARTYPELIST">#REF!</definedName>
    <definedName name="ddchartypelist2">#REF!</definedName>
    <definedName name="ddd">#REF!</definedName>
    <definedName name="ｄｄｄｄｄｄｄｄｄｄｄｄｄｄ">#REF!</definedName>
    <definedName name="DDDETAILLIST">#REF!</definedName>
    <definedName name="ｄｄｄｒ">#REF!</definedName>
    <definedName name="DDMAXLENLIST">#REF!</definedName>
    <definedName name="ddmaxlenlist2">#REF!</definedName>
    <definedName name="DDNAMELIST">#REF!</definedName>
    <definedName name="ddnamelist2">#REF!</definedName>
    <definedName name="DDNEEDLIST">#REF!</definedName>
    <definedName name="DDNO">#REF!</definedName>
    <definedName name="DDNO2">#REF!</definedName>
    <definedName name="DDNOLIST">#REF!</definedName>
    <definedName name="ddnolist2">#REF!</definedName>
    <definedName name="Dealer">#REF!</definedName>
    <definedName name="DEMO1">#REF!</definedName>
    <definedName name="DEMO6">#REF!</definedName>
    <definedName name="DepBirth1">#REF!</definedName>
    <definedName name="DepBirth2">#REF!</definedName>
    <definedName name="DepBirth3">#REF!</definedName>
    <definedName name="DepBirth4">#REF!</definedName>
    <definedName name="DepBirth5">#REF!</definedName>
    <definedName name="DepBirth6">#REF!</definedName>
    <definedName name="DepBirth7">#REF!</definedName>
    <definedName name="DependentDeduction1">#REF!</definedName>
    <definedName name="DependentSpecialDeduction1">#REF!</definedName>
    <definedName name="DepFName1">#REF!</definedName>
    <definedName name="DepFName1_2">#REF!</definedName>
    <definedName name="DepFName2">#REF!</definedName>
    <definedName name="DepFName2_2">#REF!</definedName>
    <definedName name="DepFName3">#REF!</definedName>
    <definedName name="DepFName3_2">#REF!</definedName>
    <definedName name="DepFName4">#REF!</definedName>
    <definedName name="DepFName4_2">#REF!</definedName>
    <definedName name="DepFName5">#REF!</definedName>
    <definedName name="DepFName6">#REF!</definedName>
    <definedName name="DepFName7">#REF!</definedName>
    <definedName name="DepLName1">#REF!</definedName>
    <definedName name="DepLName2">#REF!</definedName>
    <definedName name="DepLName3">#REF!</definedName>
    <definedName name="DepLName4">#REF!</definedName>
    <definedName name="DepLName5">#REF!</definedName>
    <definedName name="DepLName6">#REF!</definedName>
    <definedName name="DepLName7">#REF!</definedName>
    <definedName name="DepNum">#REF!</definedName>
    <definedName name="DepNumSpecial">#REF!</definedName>
    <definedName name="DepRelation1">#REF!</definedName>
    <definedName name="DepRelation2">#REF!</definedName>
    <definedName name="DepRelation3">#REF!</definedName>
    <definedName name="DepRelation4">#REF!</definedName>
    <definedName name="DepRelation5">#REF!</definedName>
    <definedName name="DepRelation6">#REF!</definedName>
    <definedName name="DepRelation7">#REF!</definedName>
    <definedName name="DetailsOtherDeductions">#REF!</definedName>
    <definedName name="Directordate">#REF!</definedName>
    <definedName name="Dirpdays">#REF!</definedName>
    <definedName name="Dlog_bk_prj_id">"エディット 12"</definedName>
    <definedName name="Dlog_bk_prj_name">"エディット 13"</definedName>
    <definedName name="Dlog_bk_sht_id">"エディット 14"</definedName>
    <definedName name="Dlog_sh_sht_name">"ドロップ 95"</definedName>
    <definedName name="ＤＭ送付回数">#REF!</definedName>
    <definedName name="ＤＭ送付履歴保管年数">#REF!</definedName>
    <definedName name="ＤＭ送付率">#REF!</definedName>
    <definedName name="DS_KEYS">#REF!</definedName>
    <definedName name="DS_NM">#REF!</definedName>
    <definedName name="DualCompAfterWD">#REF!</definedName>
    <definedName name="DualCompTotalDirector">#REF!</definedName>
    <definedName name="DualCompTotalEmployee">#REF!</definedName>
    <definedName name="Dualdirperm">#REF!</definedName>
    <definedName name="DualForeignTaxCredit">#REF!</definedName>
    <definedName name="Dualgrosssalary">#REF!</definedName>
    <definedName name="Dualincomeaftereid">#REF!</definedName>
    <definedName name="Dualincomebefdeduc">#REF!</definedName>
    <definedName name="Duallocalincomeaftereid">#REF!</definedName>
    <definedName name="DualLocalTaxableBasis">#REF!</definedName>
    <definedName name="DualLocaltotaldeduc">#REF!</definedName>
    <definedName name="Dualnationaldonation">#REF!</definedName>
    <definedName name="Dualnationalincometax">#REF!</definedName>
    <definedName name="DualnationalTaxPayable">#REF!</definedName>
    <definedName name="DualNationalWH">#REF!</definedName>
    <definedName name="DualOffshoreDirector">#REF!</definedName>
    <definedName name="DualOffshoreEmployee">#REF!</definedName>
    <definedName name="DualOnshoreDirector">#REF!</definedName>
    <definedName name="DualOnshoreEmployee">#REF!</definedName>
    <definedName name="DualPYIncomeAfterAlloc">#REF!</definedName>
    <definedName name="DualTaxableBasis">#REF!</definedName>
    <definedName name="DualTokureiIncome">#REF!</definedName>
    <definedName name="dualtotaldeduc">#REF!</definedName>
    <definedName name="DualTotalLocalTax">#REF!</definedName>
    <definedName name="DualTotalOtherIncome">#REF!</definedName>
    <definedName name="DualTotalProv">#REF!</definedName>
    <definedName name="DualWDDenominator">#REF!</definedName>
    <definedName name="DualWDNumerator">#REF!</definedName>
    <definedName name="ｄさ" hidden="1">#REF!</definedName>
    <definedName name="e">#REF!</definedName>
    <definedName name="eee">#REF!</definedName>
    <definedName name="eeeeee">#REF!</definedName>
    <definedName name="EJBラインテスト件数">#REF!</definedName>
    <definedName name="EJBラインバグ件数">#REF!</definedName>
    <definedName name="EmployerAddr1">#REF!</definedName>
    <definedName name="EmployerAddr2">#REF!</definedName>
    <definedName name="EmployerName">#REF!</definedName>
    <definedName name="EmployerNum">#REF!</definedName>
    <definedName name="EmployerPhone">#REF!</definedName>
    <definedName name="empnpdays">#REF!</definedName>
    <definedName name="eweqwew" hidden="1">#REF!</definedName>
    <definedName name="Export">#REF!</definedName>
    <definedName name="f">#REF!</definedName>
    <definedName name="ｆｆ">#REF!</definedName>
    <definedName name="fff">#REF!</definedName>
    <definedName name="ffff">#REF!</definedName>
    <definedName name="Firstparagraph">#REF!</definedName>
    <definedName name="Firstparagraphdual">#REF!</definedName>
    <definedName name="FitGap">#REF!</definedName>
    <definedName name="Fname">#REF!</definedName>
    <definedName name="FordCompTotal2">#REF!</definedName>
    <definedName name="FordExcessTaxPaid">#REF!</definedName>
    <definedName name="FordFCA">#REF!</definedName>
    <definedName name="FordInhabitantsWithlding">#REF!</definedName>
    <definedName name="FordNationalTaxFinal">#REF!</definedName>
    <definedName name="FordOthers">#REF!</definedName>
    <definedName name="FordTotalOvertime">#REF!</definedName>
    <definedName name="Fordwithholding">#REF!</definedName>
    <definedName name="ForeignInc">#REF!</definedName>
    <definedName name="ForeignIncAbroad">#REF!</definedName>
    <definedName name="ForeignTaxCredit">#REF!</definedName>
    <definedName name="FSPINP">#REF!</definedName>
    <definedName name="fu">#REF!</definedName>
    <definedName name="g">#REF!</definedName>
    <definedName name="Gender">#REF!</definedName>
    <definedName name="genin">#REF!</definedName>
    <definedName name="ggg">#REF!</definedName>
    <definedName name="gggg" localSheetId="5" hidden="1">{#N/A,#N/A,FALSE,"勤管理原"}</definedName>
    <definedName name="gggg" localSheetId="4" hidden="1">{#N/A,#N/A,FALSE,"勤管理原"}</definedName>
    <definedName name="gggg" localSheetId="0" hidden="1">{#N/A,#N/A,FALSE,"勤管理原"}</definedName>
    <definedName name="gggg" hidden="1">{#N/A,#N/A,FALSE,"勤管理原"}</definedName>
    <definedName name="GrossCasualtyInsurance">#REF!</definedName>
    <definedName name="GrossDonations">#REF!</definedName>
    <definedName name="Grossmedical">#REF!</definedName>
    <definedName name="h">#REF!</definedName>
    <definedName name="HARA">#REF!</definedName>
    <definedName name="HeadOfHouse">#REF!</definedName>
    <definedName name="hhh">#REF!</definedName>
    <definedName name="HisHer">#REF!</definedName>
    <definedName name="HomeLeave">#REF!</definedName>
    <definedName name="HTML_CodePage" hidden="1">932</definedName>
    <definedName name="HTML_Control" localSheetId="5" hidden="1">{"'2.3 NT(ｱｶｳﾝﾄ)基本方針2'!$A$1:$AN$62"}</definedName>
    <definedName name="HTML_Control" localSheetId="4" hidden="1">{"'2.3 NT(ｱｶｳﾝﾄ)基本方針2'!$A$1:$AN$62"}</definedName>
    <definedName name="HTML_Control" localSheetId="0" hidden="1">{"'2.3 NT(ｱｶｳﾝﾄ)基本方針2'!$A$1:$AN$62"}</definedName>
    <definedName name="HTML_Control" hidden="1">{"'2.3 NT(ｱｶｳﾝﾄ)基本方針2'!$A$1:$AN$62"}</definedName>
    <definedName name="HTML_Control1" localSheetId="5" hidden="1">{"'Sheet1'!$B$5:$H$34"}</definedName>
    <definedName name="HTML_Control1" localSheetId="4" hidden="1">{"'Sheet1'!$B$5:$H$34"}</definedName>
    <definedName name="HTML_Control1" localSheetId="0" hidden="1">{"'Sheet1'!$B$5:$H$34"}</definedName>
    <definedName name="HTML_Control1" hidden="1">{"'Sheet1'!$B$5:$H$34"}</definedName>
    <definedName name="HTML_CONTROL10" localSheetId="5" hidden="1">{"'Sheet1'!$B$5:$H$34"}</definedName>
    <definedName name="HTML_CONTROL10" localSheetId="4" hidden="1">{"'Sheet1'!$B$5:$H$34"}</definedName>
    <definedName name="HTML_CONTROL10" localSheetId="0" hidden="1">{"'Sheet1'!$B$5:$H$34"}</definedName>
    <definedName name="HTML_CONTROL10" hidden="1">{"'Sheet1'!$B$5:$H$34"}</definedName>
    <definedName name="HTML_Control2" localSheetId="5" hidden="1">{"'フローチャート'!$A$1:$AO$191"}</definedName>
    <definedName name="HTML_Control2" localSheetId="4" hidden="1">{"'フローチャート'!$A$1:$AO$191"}</definedName>
    <definedName name="HTML_Control2" localSheetId="0" hidden="1">{"'フローチャート'!$A$1:$AO$191"}</definedName>
    <definedName name="HTML_Control2" hidden="1">{"'フローチャート'!$A$1:$AO$191"}</definedName>
    <definedName name="HTML_Control3" localSheetId="5" hidden="1">{"'Sheet1'!$B$5:$H$34"}</definedName>
    <definedName name="HTML_Control3" localSheetId="4" hidden="1">{"'Sheet1'!$B$5:$H$34"}</definedName>
    <definedName name="HTML_Control3" localSheetId="0" hidden="1">{"'Sheet1'!$B$5:$H$34"}</definedName>
    <definedName name="HTML_Control3" hidden="1">{"'Sheet1'!$B$5:$H$34"}</definedName>
    <definedName name="HTML_Control4" localSheetId="5" hidden="1">{"'Sheet1'!$B$5:$H$34"}</definedName>
    <definedName name="HTML_Control4" localSheetId="4" hidden="1">{"'Sheet1'!$B$5:$H$34"}</definedName>
    <definedName name="HTML_Control4" localSheetId="0" hidden="1">{"'Sheet1'!$B$5:$H$34"}</definedName>
    <definedName name="HTML_Control4" hidden="1">{"'Sheet1'!$B$5:$H$34"}</definedName>
    <definedName name="HTML_Control5" localSheetId="5" hidden="1">{"'Sheet1'!$B$5:$H$34"}</definedName>
    <definedName name="HTML_Control5" localSheetId="4" hidden="1">{"'Sheet1'!$B$5:$H$34"}</definedName>
    <definedName name="HTML_Control5" localSheetId="0" hidden="1">{"'Sheet1'!$B$5:$H$34"}</definedName>
    <definedName name="HTML_Control5" hidden="1">{"'Sheet1'!$B$5:$H$34"}</definedName>
    <definedName name="HTML_Description" hidden="1">""</definedName>
    <definedName name="HTML_Email" hidden="1">""</definedName>
    <definedName name="HTML_Header" hidden="1">"2.3 NT(ｱｶｳﾝﾄ)"</definedName>
    <definedName name="HTML_LastUpdate" hidden="1">"99/06/25"</definedName>
    <definedName name="HTML_LineAfter" hidden="1">FALSE</definedName>
    <definedName name="HTML_LineBefore" hidden="1">FALSE</definedName>
    <definedName name="HTML_Name" hidden="1">"PC51"</definedName>
    <definedName name="HTML_OBDlg2" hidden="1">TRUE</definedName>
    <definedName name="HTML_OBDlg4" hidden="1">TRUE</definedName>
    <definedName name="HTML_OS" hidden="1">0</definedName>
    <definedName name="HTML_PathFile" hidden="1">"C:\WINDOWS\ﾃﾞｽｸﾄｯﾌﾟ\MyHTML.htm"</definedName>
    <definedName name="HTML_Title" hidden="1">"Book2"</definedName>
    <definedName name="HTML1_1" hidden="1">"[フォーム.xls]用紙!$A$1:$J$198"</definedName>
    <definedName name="HTML1_10" hidden="1">""</definedName>
    <definedName name="HTML1_11" hidden="1">1</definedName>
    <definedName name="HTML1_12" hidden="1">"w:\MyHTML.htm"</definedName>
    <definedName name="HTML1_2" hidden="1">1</definedName>
    <definedName name="HTML1_3" hidden="1">"フォーム.xls"</definedName>
    <definedName name="HTML1_4" hidden="1">"用紙"</definedName>
    <definedName name="HTML1_5" hidden="1">""</definedName>
    <definedName name="HTML1_6" hidden="1">-4146</definedName>
    <definedName name="HTML1_7" hidden="1">-4146</definedName>
    <definedName name="HTML1_8" hidden="1">"98/06/16"</definedName>
    <definedName name="HTML1_9" hidden="1">"(Ｓ開本)市開セ"</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Count" hidden="1">1</definedName>
    <definedName name="i">#REF!</definedName>
    <definedName name="iii">#REF!</definedName>
    <definedName name="iiiiiiii">#REF!</definedName>
    <definedName name="ImJikaToukou">#REF!</definedName>
    <definedName name="ImTanpoTouKou">#REF!</definedName>
    <definedName name="Incomebefdeduc">#REF!</definedName>
    <definedName name="Incomebefordeduc">#REF!</definedName>
    <definedName name="IndividualPension">#REF!</definedName>
    <definedName name="InhabitantsWithlding">#REF!</definedName>
    <definedName name="INPUTSHEET">#REF!</definedName>
    <definedName name="Item">#REF!</definedName>
    <definedName name="j">#REF!</definedName>
    <definedName name="JapanSourceIncomeNonResident">#REF!</definedName>
    <definedName name="jjj">#REF!</definedName>
    <definedName name="ｊｊｊｊｊ">#REF!</definedName>
    <definedName name="ｊｊｊｊｊｊｊｊｊｊｊｊｊｊｊｊｊｊｊｊｊｊｊｊ">#REF!</definedName>
    <definedName name="ｊｋｊｋ">#REF!</definedName>
    <definedName name="John_Smith">"Name"</definedName>
    <definedName name="JST">#REF!</definedName>
    <definedName name="JSTプロフィール">#REF!</definedName>
    <definedName name="JSTマスタメンテナンス">#REF!</definedName>
    <definedName name="JSTレポート管理">#REF!</definedName>
    <definedName name="JST勤怠管理">#REF!</definedName>
    <definedName name="JST契約管理">#REF!</definedName>
    <definedName name="JST見積管理">#REF!</definedName>
    <definedName name="JST請求管理">#REF!</definedName>
    <definedName name="k">#REF!</definedName>
    <definedName name="K2E0004T">#REF!</definedName>
    <definedName name="K2E0004T表名">#REF!</definedName>
    <definedName name="KEI">#REF!</definedName>
    <definedName name="KEYS">#REF!</definedName>
    <definedName name="kkk">#REF!</definedName>
    <definedName name="kkkk" hidden="1">#REF!</definedName>
    <definedName name="KNetwages">#REF!</definedName>
    <definedName name="KTOTALINC">#REF!</definedName>
    <definedName name="KuWages">#REF!</definedName>
    <definedName name="l">#REF!</definedName>
    <definedName name="lastcharactor">#REF!</definedName>
    <definedName name="LeaveJapan">#REF!</definedName>
    <definedName name="level">#REF!</definedName>
    <definedName name="LifeInsuranceDeduction1">#REF!</definedName>
    <definedName name="LifeInsuranceDeduction2">#REF!</definedName>
    <definedName name="LifeInsuranceRegularGross">#REF!</definedName>
    <definedName name="lll">#REF!</definedName>
    <definedName name="Lname">#REF!</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grossincome">#REF!</definedName>
    <definedName name="LocalTaxableBasis">#REF!</definedName>
    <definedName name="LocalTokubetsu">#REF!</definedName>
    <definedName name="Localtotaldeduc">#REF!</definedName>
    <definedName name="lumpsum">#REF!</definedName>
    <definedName name="m">#REF!</definedName>
    <definedName name="medicalnationaldeduc">#REF!</definedName>
    <definedName name="Misc">#REF!</definedName>
    <definedName name="n">#REF!</definedName>
    <definedName name="name">#REF!</definedName>
    <definedName name="NameJPN">"テキスト 116"</definedName>
    <definedName name="NAMES">#REF!</definedName>
    <definedName name="NationalTaxPayable">#REF!</definedName>
    <definedName name="NationalTaxPayableFormat">#REF!</definedName>
    <definedName name="NationalTaxWitheldA">#REF!</definedName>
    <definedName name="NationalTaxWitheldB">#REF!</definedName>
    <definedName name="NationalTaxWitheldC">#REF!</definedName>
    <definedName name="NationalTotalFTC">#REF!</definedName>
    <definedName name="NationalWH">#REF!</definedName>
    <definedName name="NEC_KEYS">#REF!</definedName>
    <definedName name="NECESSITYLIST">#REF!</definedName>
    <definedName name="NEEDLIST">#REF!</definedName>
    <definedName name="NII" localSheetId="5" hidden="1">{#N/A,#N/A,FALSE,"勤管理原"}</definedName>
    <definedName name="NII" localSheetId="4" hidden="1">{#N/A,#N/A,FALSE,"勤管理原"}</definedName>
    <definedName name="NII" localSheetId="0" hidden="1">{#N/A,#N/A,FALSE,"勤管理原"}</definedName>
    <definedName name="NII" hidden="1">{#N/A,#N/A,FALSE,"勤管理原"}</definedName>
    <definedName name="NN">#REF!</definedName>
    <definedName name="No">#REF!</definedName>
    <definedName name="Noprov1reduc">#REF!</definedName>
    <definedName name="NRaccountnumber">#REF!</definedName>
    <definedName name="NRaddrbldg">#REF!</definedName>
    <definedName name="NRaddrblock">#REF!</definedName>
    <definedName name="NRAdministr">#REF!</definedName>
    <definedName name="NRbank">#REF!</definedName>
    <definedName name="NRbranch">#REF!</definedName>
    <definedName name="NRcalc.TotalCompensation">#REF!</definedName>
    <definedName name="NRcity">#REF!</definedName>
    <definedName name="NRcontact">#REF!</definedName>
    <definedName name="NRcontacts">#REF!</definedName>
    <definedName name="NRdatefromnonres">#REF!</definedName>
    <definedName name="NRdateofdepart">#REF!</definedName>
    <definedName name="NRdateofentry">#REF!</definedName>
    <definedName name="NRdatetononres">#REF!</definedName>
    <definedName name="NRdob">#REF!</definedName>
    <definedName name="NRempnumber">#REF!</definedName>
    <definedName name="NRfname">#REF!</definedName>
    <definedName name="NRfutsu">#REF!</definedName>
    <definedName name="NRgender">#REF!</definedName>
    <definedName name="Nrlname">#REF!</definedName>
    <definedName name="NRmname">#REF!</definedName>
    <definedName name="NRnationality">#REF!</definedName>
    <definedName name="NRperiodfrom">#REF!</definedName>
    <definedName name="NRperiodto">#REF!</definedName>
    <definedName name="NRphone">#REF!</definedName>
    <definedName name="nrphone1">#REF!</definedName>
    <definedName name="NRphone2">#REF!</definedName>
    <definedName name="NRstayedfrom">#REF!</definedName>
    <definedName name="NRstayeduntil">#REF!</definedName>
    <definedName name="NRstayeduntil\">#REF!</definedName>
    <definedName name="NRTaxoffice">#REF!</definedName>
    <definedName name="NRtaxyear">#REF!</definedName>
    <definedName name="NRvisa">#REF!</definedName>
    <definedName name="NRVISA1">#REF!</definedName>
    <definedName name="NRVISA2">#REF!</definedName>
    <definedName name="NRzip">#REF!</definedName>
    <definedName name="NULLLIST">#REF!</definedName>
    <definedName name="o">#REF!</definedName>
    <definedName name="OBJ参照抽出">#REF!</definedName>
    <definedName name="Occup">#REF!</definedName>
    <definedName name="OccupList">#REF!</definedName>
    <definedName name="OccupNumber">#REF!</definedName>
    <definedName name="OffshoreTotal">#REF!</definedName>
    <definedName name="ooo">#REF!</definedName>
    <definedName name="ORDIA">#REF!</definedName>
    <definedName name="ORDIAHOME">#REF!</definedName>
    <definedName name="ORDIAクライアント管理">#REF!</definedName>
    <definedName name="ORDIAクライアント部署管理">#REF!</definedName>
    <definedName name="ORDIAシステム管理">#REF!</definedName>
    <definedName name="ORDIAスタッフ管理">#REF!</definedName>
    <definedName name="ORDIAダウンロードセンター">#REF!</definedName>
    <definedName name="ORDIAバッチ処理">#REF!</definedName>
    <definedName name="ORDIA案件管理">#REF!</definedName>
    <definedName name="ORDIA会計連携">#REF!</definedName>
    <definedName name="ORDIA勤怠管理">#REF!</definedName>
    <definedName name="ORDIA契約書発行">#REF!</definedName>
    <definedName name="ORDIA最新ニュース">#REF!</definedName>
    <definedName name="ORDIA支払管理">#REF!</definedName>
    <definedName name="ORDIA受注管理">#REF!</definedName>
    <definedName name="ORDIA商談管理">#REF!</definedName>
    <definedName name="ORDIA人材紹介">#REF!</definedName>
    <definedName name="ORDIA請求管理">#REF!</definedName>
    <definedName name="ORDIA請負管理">#REF!</definedName>
    <definedName name="ORDIA全体">#REF!</definedName>
    <definedName name="ORDIA問合せ">#REF!</definedName>
    <definedName name="ORDIA有給休暇管理">#REF!</definedName>
    <definedName name="ORDIA来社予約">#REF!</definedName>
    <definedName name="ORDIA立替調整金管理">#REF!</definedName>
    <definedName name="ORDIA労務管理">#REF!</definedName>
    <definedName name="OtherIncomeDividend">#REF!</definedName>
    <definedName name="OtherIncomeInterest">#REF!</definedName>
    <definedName name="OtherIncomeTotal">#REF!</definedName>
    <definedName name="OUTPUT">#REF!</definedName>
    <definedName name="ｐ" hidden="1">#REF!</definedName>
    <definedName name="p_area_detail">#REF!</definedName>
    <definedName name="p_area_wbs">#REF!</definedName>
    <definedName name="P901BT">20</definedName>
    <definedName name="PA">#REF!</definedName>
    <definedName name="paycase11">#REF!</definedName>
    <definedName name="paycase12">#REF!</definedName>
    <definedName name="pc">"グループ 260"</definedName>
    <definedName name="PD_接触手段">#REF!</definedName>
    <definedName name="PerCapita">#REF!</definedName>
    <definedName name="PeriodofStay">#REF!</definedName>
    <definedName name="Permanentasof">#REF!</definedName>
    <definedName name="Permanentdate">#REF!</definedName>
    <definedName name="Permanentdatef">#REF!</definedName>
    <definedName name="PermanentinJapan">#REF!</definedName>
    <definedName name="PermNonPerm">#REF!</definedName>
    <definedName name="PGMName">"テキスト 114"</definedName>
    <definedName name="Phone">#REF!</definedName>
    <definedName name="PPP" hidden="1">#REF!</definedName>
    <definedName name="PrefecturalFTC">#REF!</definedName>
    <definedName name="_xlnm.Print_Area" localSheetId="5">'【旧】案件台帳(全量)'!$L$4</definedName>
    <definedName name="_xlnm.Print_Area" localSheetId="4">'【旧】案件台帳(抜粋)'!#REF!</definedName>
    <definedName name="_xlnm.Print_Area" localSheetId="0">案件台帳!#REF!</definedName>
    <definedName name="_xlnm.Print_Area">#REF!</definedName>
    <definedName name="print_area1">#REF!</definedName>
    <definedName name="_xlnm.Print_Titles">#REF!</definedName>
    <definedName name="PrintDaicho">#REF!</definedName>
    <definedName name="PriorYearIncome">#REF!</definedName>
    <definedName name="Proofmailingparagraph">#REF!</definedName>
    <definedName name="Proofmailingparagraphdual">#REF!</definedName>
    <definedName name="ProvisionalJuly">#REF!</definedName>
    <definedName name="ProvisionalNovember">#REF!</definedName>
    <definedName name="PYBusinessDay">#REF!</definedName>
    <definedName name="PYHomeLeave">#REF!</definedName>
    <definedName name="PYTotalDaysResidentJapan">#REF!</definedName>
    <definedName name="q" hidden="1">#REF!</definedName>
    <definedName name="qq">#REF!</definedName>
    <definedName name="qqq">#REF!</definedName>
    <definedName name="qqqqq" hidden="1">#REF!</definedName>
    <definedName name="qqqqqqqqqqq">#REF!</definedName>
    <definedName name="Query_for_OT2">#REF!</definedName>
    <definedName name="QuitDaicho">#REF!</definedName>
    <definedName name="qwqwqw" localSheetId="5" hidden="1">{"'フローチャート'!$A$1:$AO$191"}</definedName>
    <definedName name="qwqwqw" localSheetId="4" hidden="1">{"'フローチャート'!$A$1:$AO$191"}</definedName>
    <definedName name="qwqwqw" localSheetId="0" hidden="1">{"'フローチャート'!$A$1:$AO$191"}</definedName>
    <definedName name="qwqwqw" hidden="1">{"'フローチャート'!$A$1:$AO$191"}</definedName>
    <definedName name="_xlnm.Recorder">#REF!</definedName>
    <definedName name="RegNum">#REF!</definedName>
    <definedName name="regular.TaxOfficeNum">#REF!</definedName>
    <definedName name="REV">"002"</definedName>
    <definedName name="ｒｒｒ">#REF!</definedName>
    <definedName name="rrrr">#REF!</definedName>
    <definedName name="ｒｒｒｒｒｒｒｒｒｒｒｒ">#REF!</definedName>
    <definedName name="s">#REF!</definedName>
    <definedName name="SAPBEXrevision" hidden="1">3</definedName>
    <definedName name="SAPBEXsysID" hidden="1">"BW1"</definedName>
    <definedName name="SAPBEXwbID" hidden="1">"3SDE71NL9JJB2F6LMYQ0XGE9S"</definedName>
    <definedName name="shurui">#REF!</definedName>
    <definedName name="SN_01">#REF!</definedName>
    <definedName name="SN_011">#REF!</definedName>
    <definedName name="SN_02">#REF!</definedName>
    <definedName name="SN_05">#REF!</definedName>
    <definedName name="SN_08">#REF!</definedName>
    <definedName name="SN_09">#REF!</definedName>
    <definedName name="SN_10">#REF!</definedName>
    <definedName name="SNADT">#REF!</definedName>
    <definedName name="SNANM">#REF!</definedName>
    <definedName name="SNANS">#REF!</definedName>
    <definedName name="SNAPD">#REF!</definedName>
    <definedName name="SNASC">#REF!</definedName>
    <definedName name="SNBTA">#REF!</definedName>
    <definedName name="SNBUN">#REF!</definedName>
    <definedName name="SNCKB">#REF!</definedName>
    <definedName name="SNCLM">#REF!</definedName>
    <definedName name="SNDKB">#REF!</definedName>
    <definedName name="SNDTL">#REF!</definedName>
    <definedName name="SNETC">#REF!</definedName>
    <definedName name="SNFPR">#REF!</definedName>
    <definedName name="SNGSC">#REF!</definedName>
    <definedName name="SNGTN">#REF!</definedName>
    <definedName name="SNHDT">#REF!</definedName>
    <definedName name="SNHID">#REF!</definedName>
    <definedName name="SNHMP">#REF!</definedName>
    <definedName name="SNHNM">#REF!</definedName>
    <definedName name="SNHSC">#REF!</definedName>
    <definedName name="SNJYD">#REF!</definedName>
    <definedName name="SNKAN">#REF!</definedName>
    <definedName name="SNKKB">#REF!</definedName>
    <definedName name="SNKKN">#REF!</definedName>
    <definedName name="SNLMT">#REF!</definedName>
    <definedName name="SNMCD">#REF!</definedName>
    <definedName name="SNMYP">#REF!</definedName>
    <definedName name="SNOPR">#REF!</definedName>
    <definedName name="SNREF">#REF!</definedName>
    <definedName name="SNRMN">#REF!</definedName>
    <definedName name="SNSTS">#REF!</definedName>
    <definedName name="SNTAG">#REF!</definedName>
    <definedName name="SNTTL">#REF!</definedName>
    <definedName name="SNZAN">#REF!</definedName>
    <definedName name="solver_opt" hidden="1">#REF!</definedName>
    <definedName name="souko04">#REF!</definedName>
    <definedName name="souko13">#REF!</definedName>
    <definedName name="souko17">#REF!</definedName>
    <definedName name="ss" hidden="1">#REF!</definedName>
    <definedName name="sss">#REF!</definedName>
    <definedName name="sssss" hidden="1">#REF!</definedName>
    <definedName name="sssssss">#REF!</definedName>
    <definedName name="STFOREIGN">#REF!</definedName>
    <definedName name="STINCOME">#REF!</definedName>
    <definedName name="STOP_BIT">#REF!</definedName>
    <definedName name="SubSySID">#REF!</definedName>
    <definedName name="SYMBOL">#REF!</definedName>
    <definedName name="syou">#REF!</definedName>
    <definedName name="T_KNY_JSK_PAY_HIKOKAIの金額集計">#REF!</definedName>
    <definedName name="T_KNY_JSK_PAY_HIKOKAIの数量集計">#REF!</definedName>
    <definedName name="TABLEDETAILLIST">#REF!</definedName>
    <definedName name="TABLEIDLIST">#REF!</definedName>
    <definedName name="TABLEJNAMELIST">#REF!</definedName>
    <definedName name="TABLENAMELIST">#REF!</definedName>
    <definedName name="taiou">#REF!</definedName>
    <definedName name="TBL_KEYS">#REF!</definedName>
    <definedName name="TBL_KEYS2">#REF!</definedName>
    <definedName name="tbl_nam">#REF!</definedName>
    <definedName name="tbl_SKU_RUNOUT">#REF!</definedName>
    <definedName name="ｔｅｓｔ">#REF!</definedName>
    <definedName name="tesuto">#REF!</definedName>
    <definedName name="TODAY">#REF!</definedName>
    <definedName name="TPCG101">#REF!</definedName>
    <definedName name="TPCG102">#REF!</definedName>
    <definedName name="TPCG103">#REF!</definedName>
    <definedName name="TPCG104">#REF!</definedName>
    <definedName name="TPCG105">#REF!</definedName>
    <definedName name="TPCG106">#REF!</definedName>
    <definedName name="TPCG107">#REF!</definedName>
    <definedName name="TPCG108">#REF!</definedName>
    <definedName name="TPCG109">#REF!</definedName>
    <definedName name="TPCG110">#REF!</definedName>
    <definedName name="TPCG111">#REF!</definedName>
    <definedName name="TPCG112">#REF!</definedName>
    <definedName name="Transfer_Separate_Taxation_Data_2">#REF!</definedName>
    <definedName name="tyuu">#REF!</definedName>
    <definedName name="UI" localSheetId="5" hidden="1">{"月例報告",#N/A,FALSE,"STB"}</definedName>
    <definedName name="UI" localSheetId="4" hidden="1">{"月例報告",#N/A,FALSE,"STB"}</definedName>
    <definedName name="UI" localSheetId="0" hidden="1">{"月例報告",#N/A,FALSE,"STB"}</definedName>
    <definedName name="UI" hidden="1">{"月例報告",#N/A,FALSE,"STB"}</definedName>
    <definedName name="uriage">#REF!</definedName>
    <definedName name="uuuuuuuuuuu">#REF!</definedName>
    <definedName name="VER">"3.5"</definedName>
    <definedName name="w" localSheetId="5" hidden="1">{"月例報告",#N/A,FALSE,"STB"}</definedName>
    <definedName name="w" localSheetId="4" hidden="1">{"月例報告",#N/A,FALSE,"STB"}</definedName>
    <definedName name="w" localSheetId="0" hidden="1">{"月例報告",#N/A,FALSE,"STB"}</definedName>
    <definedName name="w" hidden="1">{"月例報告",#N/A,FALSE,"STB"}</definedName>
    <definedName name="wdewqe" hidden="1">#REF!</definedName>
    <definedName name="work">#REF!</definedName>
    <definedName name="wrn.勤務状況管理表." localSheetId="5" hidden="1">{#N/A,#N/A,FALSE,"勤管理原"}</definedName>
    <definedName name="wrn.勤務状況管理表." localSheetId="4" hidden="1">{#N/A,#N/A,FALSE,"勤管理原"}</definedName>
    <definedName name="wrn.勤務状況管理表." localSheetId="0" hidden="1">{#N/A,#N/A,FALSE,"勤管理原"}</definedName>
    <definedName name="wrn.勤務状況管理表." hidden="1">{#N/A,#N/A,FALSE,"勤管理原"}</definedName>
    <definedName name="wrn.月例報告." localSheetId="5" hidden="1">{"月例報告",#N/A,FALSE,"STB"}</definedName>
    <definedName name="wrn.月例報告." localSheetId="4" hidden="1">{"月例報告",#N/A,FALSE,"STB"}</definedName>
    <definedName name="wrn.月例報告." localSheetId="0" hidden="1">{"月例報告",#N/A,FALSE,"STB"}</definedName>
    <definedName name="wrn.月例報告." hidden="1">{"月例報告",#N/A,FALSE,"STB"}</definedName>
    <definedName name="www">#REF!</definedName>
    <definedName name="ｗｗｗｗｗｗｗｗｗ">#REF!</definedName>
    <definedName name="Ｘ">#REF!</definedName>
    <definedName name="xx">#REF!</definedName>
    <definedName name="xxxx">#REF!</definedName>
    <definedName name="ｘｘｘｘｘｘｘｘｘｘｘ">#REF!</definedName>
    <definedName name="yy">#REF!</definedName>
    <definedName name="ｙｙｙｙｙｙｙｙｙｙ">#REF!</definedName>
    <definedName name="ｙｙｙｙｙｙｙｙｙｙｙｙｙ">#REF!</definedName>
    <definedName name="ｚ">#REF!</definedName>
    <definedName name="zenntei">#REF!</definedName>
    <definedName name="zzzzz">#REF!</definedName>
    <definedName name="ｚｚｚｚｚｚｚｚ" hidden="1">#REF!</definedName>
    <definedName name="ｚｚｚｚｚｚｚｚｚｚｚ">#REF!</definedName>
    <definedName name="あ">#REF!</definedName>
    <definedName name="あｄ" hidden="1">#REF!</definedName>
    <definedName name="あｑ">#REF!</definedName>
    <definedName name="あｓｄ" hidden="1">#REF!</definedName>
    <definedName name="あＺ">#REF!</definedName>
    <definedName name="ああ" hidden="1">#REF!</definedName>
    <definedName name="あああ">#REF!</definedName>
    <definedName name="あああｑｑｑｑ" localSheetId="5" hidden="1">{#N/A,#N/A,FALSE,"勤管理原"}</definedName>
    <definedName name="あああｑｑｑｑ" localSheetId="4" hidden="1">{#N/A,#N/A,FALSE,"勤管理原"}</definedName>
    <definedName name="あああｑｑｑｑ" localSheetId="0" hidden="1">{#N/A,#N/A,FALSE,"勤管理原"}</definedName>
    <definedName name="あああｑｑｑｑ" hidden="1">{#N/A,#N/A,FALSE,"勤管理原"}</definedName>
    <definedName name="ああああ" hidden="1">#REF!</definedName>
    <definedName name="ああああああああああああああ">#REF!</definedName>
    <definedName name="い">#REF!</definedName>
    <definedName name="いなげやKPTS_明細１">#REF!</definedName>
    <definedName name="インパクト">OFFSET(#REF!,0,0,COUNTA(#REF!),1)</definedName>
    <definedName name="う">#REF!</definedName>
    <definedName name="うやまマクロ">#N/A</definedName>
    <definedName name="え" hidden="1">#REF!</definedName>
    <definedName name="ええええ" hidden="1">#REF!</definedName>
    <definedName name="おおおおおおおおおおお">#REF!</definedName>
    <definedName name="オブジェクトの定義">#REF!</definedName>
    <definedName name="オブジェクト参照抽出">#REF!</definedName>
    <definedName name="か">#REF!</definedName>
    <definedName name="カード種類利用件数">#REF!</definedName>
    <definedName name="カード入金比率">#REF!</definedName>
    <definedName name="ｶﾃｺﾞﾘ">#REF!</definedName>
    <definedName name="カレンダー">IF(VLOOKUP(#REF!,OFFSET(#REF!,MATCH(DAY(#REF!),#REF!,0),MATCH(DATE(YEAR(#REF!),MONTH(#REF!),1),#REF!,0),1,3),3,0)=0,"平日",VLOOKUP(#REF!,OFFSET(#REF!,MATCH(DAY(#REF!),#REF!,0),MATCH(DATE(YEAR(#REF!),MONTH(#REF!),1),#REF!,0),1,3),3,0))</definedName>
    <definedName name="き">#REF!</definedName>
    <definedName name="クＨ">#REF!</definedName>
    <definedName name="クエリ1">#REF!</definedName>
    <definedName name="クエリ2">#REF!</definedName>
    <definedName name="クエリ4">#REF!</definedName>
    <definedName name="クエリ6">#REF!</definedName>
    <definedName name="クホ">#REF!</definedName>
    <definedName name="グラフ表示開始日_基本_件数推移">#REF!</definedName>
    <definedName name="グラフ表示開始日_基本_消化件数推移">#REF!</definedName>
    <definedName name="グラフ表示開始日_台帳_件数推移">#REF!</definedName>
    <definedName name="グラフ表示開始日_台帳_消化件数推移">#REF!</definedName>
    <definedName name="グラフ表示間隔_基本_件数推移">#REF!</definedName>
    <definedName name="グラフ表示間隔_基本_消化件数推移">#REF!</definedName>
    <definedName name="コード">#REF!,#REF!,#REF!,#REF!,#REF!,#REF!,#REF!,#REF!,#REF!,#REF!,#REF!,#REF!</definedName>
    <definedName name="サＨ">#REF!</definedName>
    <definedName name="サブシステム">#REF!</definedName>
    <definedName name="サブシステムＩＤ">#REF!</definedName>
    <definedName name="ｻﾌﾞｼｽﾃﾑ付与2">#REF!</definedName>
    <definedName name="サブシステム名">#REF!</definedName>
    <definedName name="サブシステム名称">"四角形 32"</definedName>
    <definedName name="サブチーム">#REF!</definedName>
    <definedName name="サブ名">#REF!</definedName>
    <definedName name="サブ名称">#REF!</definedName>
    <definedName name="サホ">#REF!</definedName>
    <definedName name="サンプル" hidden="1">#REF!</definedName>
    <definedName name="シート選択見だし">"ラベル 5"</definedName>
    <definedName name="システム">#REF!</definedName>
    <definedName name="システム一覧">#REF!</definedName>
    <definedName name="システム開発工程">OFFSET(#REF!,0,0,COUNTA(#REF!),1)</definedName>
    <definedName name="システム名">#REF!</definedName>
    <definedName name="システム名２">#REF!</definedName>
    <definedName name="システム名称">"四角形 30"</definedName>
    <definedName name="システム名略称">#REF!</definedName>
    <definedName name="ジョブ名">OFFSET(#REF!,0,0,COUNTA(#REF!),1)</definedName>
    <definedName name="ｼﾝｾﾝ">#REF!</definedName>
    <definedName name="ステータス">#REF!</definedName>
    <definedName name="ステータス数">#REF!</definedName>
    <definedName name="ソース">#REF!</definedName>
    <definedName name="ソート方向">#REF!</definedName>
    <definedName name="タイトル">#REF!</definedName>
    <definedName name="タイトル２">#REF!</definedName>
    <definedName name="タスクドキュメント１" hidden="1">#REF!</definedName>
    <definedName name="チーム名">#REF!</definedName>
    <definedName name="チャネル共通率">#REF!</definedName>
    <definedName name="データ開始位置_台帳_原因別分類">#REF!</definedName>
    <definedName name="データ分類">#REF!</definedName>
    <definedName name="てすと" localSheetId="5" hidden="1">{#N/A,#N/A,FALSE,"勤管理原"}</definedName>
    <definedName name="てすと" localSheetId="4" hidden="1">{#N/A,#N/A,FALSE,"勤管理原"}</definedName>
    <definedName name="てすと" localSheetId="0" hidden="1">{#N/A,#N/A,FALSE,"勤管理原"}</definedName>
    <definedName name="てすと" hidden="1">{#N/A,#N/A,FALSE,"勤管理原"}</definedName>
    <definedName name="デフォルト値">#REF!</definedName>
    <definedName name="ドメインコード">#REF!</definedName>
    <definedName name="バッチファイル保管日数">#REF!</definedName>
    <definedName name="ふぁｓふぁｓｄｆ" localSheetId="5" hidden="1">{"'Sheet1'!$B$5:$H$34"}</definedName>
    <definedName name="ふぁｓふぁｓｄｆ" localSheetId="4" hidden="1">{"'Sheet1'!$B$5:$H$34"}</definedName>
    <definedName name="ふぁｓふぁｓｄｆ" localSheetId="0" hidden="1">{"'Sheet1'!$B$5:$H$34"}</definedName>
    <definedName name="ふぁｓふぁｓｄｆ" hidden="1">{"'Sheet1'!$B$5:$H$34"}</definedName>
    <definedName name="フォーカス移動__DT01_入力可能な直後の項目">#REF!</definedName>
    <definedName name="フォロー率">#REF!</definedName>
    <definedName name="フロー">#REF!</definedName>
    <definedName name="ヘッド部制御領域">#REF!</definedName>
    <definedName name="ボタン1_Click">#REF!</definedName>
    <definedName name="マーク">#REF!</definedName>
    <definedName name="ユーザ名">#REF!</definedName>
    <definedName name="リクエストBody">#REF!</definedName>
    <definedName name="リスト" hidden="1">#REF!</definedName>
    <definedName name="リスト出力" hidden="1">#REF!</definedName>
    <definedName name="リリースタイミング">#REF!</definedName>
    <definedName name="レビュワー">#REF!</definedName>
    <definedName name="ワークシート">#REF!</definedName>
    <definedName name="ワイドに">#REF!</definedName>
    <definedName name="案件名">#REF!</definedName>
    <definedName name="移行フェーズ">#REF!</definedName>
    <definedName name="移行分類">#REF!</definedName>
    <definedName name="印刷用">#REF!</definedName>
    <definedName name="営業店東京">#REF!</definedName>
    <definedName name="影響度">#REF!</definedName>
    <definedName name="仮顧客発生数">#REF!</definedName>
    <definedName name="仮顧客保存月数">#REF!</definedName>
    <definedName name="画面ラインテスト件数">#REF!</definedName>
    <definedName name="画面ラインバグ件数">#REF!</definedName>
    <definedName name="画面部品種類">#REF!</definedName>
    <definedName name="会員数">#REF!</definedName>
    <definedName name="会計集計マスタ">#REF!</definedName>
    <definedName name="会社共通率">#REF!</definedName>
    <definedName name="会社名">#REF!</definedName>
    <definedName name="会社名２">#REF!</definedName>
    <definedName name="改行コード">#REF!</definedName>
    <definedName name="改定履歴１">#REF!</definedName>
    <definedName name="改版日">#REF!</definedName>
    <definedName name="開発単位">#REF!</definedName>
    <definedName name="環境ステータス">#REF!</definedName>
    <definedName name="関数">#REF!</definedName>
    <definedName name="関連表" hidden="1">#REF!</definedName>
    <definedName name="機能">#REF!</definedName>
    <definedName name="機能分類">#REF!</definedName>
    <definedName name="拠点別時給DB01">#REF!</definedName>
    <definedName name="協和発酵商品データ">#REF!</definedName>
    <definedName name="業務機能">#REF!</definedName>
    <definedName name="検索件数">#REF!</definedName>
    <definedName name="検索条件区分">#REF!</definedName>
    <definedName name="検証区分">#REF!</definedName>
    <definedName name="見やすく">#REF!</definedName>
    <definedName name="原因区分">OFFSET(#REF!,0,0,COUNTA(#REF!),1)</definedName>
    <definedName name="原因分類">#REF!</definedName>
    <definedName name="庫内集計">#REF!</definedName>
    <definedName name="顧客メモ発生率">#REF!</definedName>
    <definedName name="顧客数">#REF!</definedName>
    <definedName name="顧客変更率">#REF!</definedName>
    <definedName name="口座登録率">#REF!</definedName>
    <definedName name="口座変更率">#REF!</definedName>
    <definedName name="工程">#REF!</definedName>
    <definedName name="工程分類マスタ">#REF!</definedName>
    <definedName name="講習店東京">#REF!</definedName>
    <definedName name="合計数">#REF!</definedName>
    <definedName name="最終つきあわせ">#REF!</definedName>
    <definedName name="作業">OFFSET(#REF!,0,0,COUNTA(#REF!),1)</definedName>
    <definedName name="作成日_JOB">#REF!</definedName>
    <definedName name="作成日_代表">#REF!</definedName>
    <definedName name="作成頻度リスト">#REF!</definedName>
    <definedName name="支払予定日種別">#REF!</definedName>
    <definedName name="辞書範囲">#REF!</definedName>
    <definedName name="質問">#REF!</definedName>
    <definedName name="実現区分">#REF!</definedName>
    <definedName name="実行ﾁｪｯｸ">#REF!</definedName>
    <definedName name="実販予算" localSheetId="5" hidden="1">{"'Sheet1'!$B$5:$H$34"}</definedName>
    <definedName name="実販予算" localSheetId="4" hidden="1">{"'Sheet1'!$B$5:$H$34"}</definedName>
    <definedName name="実販予算" localSheetId="0" hidden="1">{"'Sheet1'!$B$5:$H$34"}</definedName>
    <definedName name="実販予算" hidden="1">{"'Sheet1'!$B$5:$H$34"}</definedName>
    <definedName name="主管部署ＩＤ">#REF!</definedName>
    <definedName name="主管部署名">#REF!</definedName>
    <definedName name="取引先">#REF!</definedName>
    <definedName name="受託">#REF!</definedName>
    <definedName name="受託１">#REF!</definedName>
    <definedName name="受注エラー履歴保管月数">#REF!</definedName>
    <definedName name="受注エラー率">#REF!</definedName>
    <definedName name="受注数">#REF!</definedName>
    <definedName name="受注日">#REF!</definedName>
    <definedName name="受注番号">#REF!</definedName>
    <definedName name="受注保管月数">#REF!</definedName>
    <definedName name="受注明細数">#REF!</definedName>
    <definedName name="終わり">#REF!</definedName>
    <definedName name="重要">#REF!</definedName>
    <definedName name="重要度">#REF!</definedName>
    <definedName name="祝日">#REF!</definedName>
    <definedName name="出荷件数">#REF!</definedName>
    <definedName name="出荷保管月数">#REF!</definedName>
    <definedName name="出力">#REF!</definedName>
    <definedName name="処理機能記述" hidden="1">#REF!</definedName>
    <definedName name="所属先マスタ">#REF!</definedName>
    <definedName name="商品群共通率">#REF!</definedName>
    <definedName name="商品数">#REF!</definedName>
    <definedName name="小">#REF!</definedName>
    <definedName name="小あ">#REF!</definedName>
    <definedName name="詳細グラフ">"グラフ 17"</definedName>
    <definedName name="詳細実績終了日">#REF!</definedName>
    <definedName name="詳細予定終了日">#REF!</definedName>
    <definedName name="障害">#REF!</definedName>
    <definedName name="障害２２２２">#REF!</definedName>
    <definedName name="障害２３３３">#REF!</definedName>
    <definedName name="障害NO欄">#REF!</definedName>
    <definedName name="障害レベル_テスト">#REF!</definedName>
    <definedName name="障害レベル_移行">#REF!</definedName>
    <definedName name="障害レベル_初期流動">#REF!</definedName>
    <definedName name="障害票">#REF!</definedName>
    <definedName name="障害票１０">#REF!</definedName>
    <definedName name="障害票１１">#REF!</definedName>
    <definedName name="障害票１１１">#REF!</definedName>
    <definedName name="障害票１２">#REF!</definedName>
    <definedName name="障害票１２１">#REF!</definedName>
    <definedName name="障害票１２１１">#REF!</definedName>
    <definedName name="障害票１２２">#REF!</definedName>
    <definedName name="障害票１２２１">#REF!</definedName>
    <definedName name="障害票１３">#REF!</definedName>
    <definedName name="障害票１４">#REF!</definedName>
    <definedName name="障害票１５">#REF!</definedName>
    <definedName name="障害票１６">#REF!</definedName>
    <definedName name="障害票２">#REF!</definedName>
    <definedName name="障害票３">#REF!</definedName>
    <definedName name="障害票３１">#REF!</definedName>
    <definedName name="障害票３３３">#REF!</definedName>
    <definedName name="障害票４">#REF!</definedName>
    <definedName name="障害票５">#REF!</definedName>
    <definedName name="障害票６">#REF!</definedName>
    <definedName name="障害票７">#REF!</definedName>
    <definedName name="障害票８">#REF!</definedName>
    <definedName name="障害票９">#REF!</definedName>
    <definedName name="障害票№">#REF!</definedName>
    <definedName name="障害票ツール区分">#REF!</definedName>
    <definedName name="条件付き必須チェック条件式">#REF!</definedName>
    <definedName name="状態">OFFSET(#REF!,0,0,COUNTA(#REF!),1)</definedName>
    <definedName name="状態２">OFFSET(#REF!,0,0,COUNTA(#REF!),1)</definedName>
    <definedName name="振込口座">#REF!</definedName>
    <definedName name="振替休日">#REF!</definedName>
    <definedName name="新業務分類">#REF!</definedName>
    <definedName name="新世代_Ｍ_List">#REF!</definedName>
    <definedName name="人事レイアウト">#REF!</definedName>
    <definedName name="数字">"S"</definedName>
    <definedName name="制御文字">"H"</definedName>
    <definedName name="成果物">#REF!</definedName>
    <definedName name="成果物２">#REF!</definedName>
    <definedName name="製造実績終了日">#REF!</definedName>
    <definedName name="製造予定終了日">#REF!</definedName>
    <definedName name="請求分割率">#REF!</definedName>
    <definedName name="設計会社名">#REF!</definedName>
    <definedName name="設計者名">#REF!</definedName>
    <definedName name="設計状態リスト">#REF!</definedName>
    <definedName name="設計部署名">#REF!</definedName>
    <definedName name="設備タイプマスタ">#REF!</definedName>
    <definedName name="選択">#REF!</definedName>
    <definedName name="全項目">#REF!</definedName>
    <definedName name="全半角">"O"</definedName>
    <definedName name="組織">#REF!</definedName>
    <definedName name="組織名">#REF!</definedName>
    <definedName name="想定作業ボリューム">#REF!</definedName>
    <definedName name="想定作業担当">#REF!</definedName>
    <definedName name="相談件数">#REF!</definedName>
    <definedName name="相談保管月数">#REF!</definedName>
    <definedName name="相談明細件数">#REF!</definedName>
    <definedName name="送受信区分">#REF!</definedName>
    <definedName name="属性">#REF!</definedName>
    <definedName name="対応状況">#REF!</definedName>
    <definedName name="対応担当">OFFSET(#REF!,0,0,COUNTA(#REF!),1)</definedName>
    <definedName name="対応分類">#REF!</definedName>
    <definedName name="代引入金比率">#REF!</definedName>
    <definedName name="大">#REF!</definedName>
    <definedName name="大分類">#REF!</definedName>
    <definedName name="大分類リスト">#REF!</definedName>
    <definedName name="単体価格">#REF!</definedName>
    <definedName name="単体価格広島">#REF!</definedName>
    <definedName name="単体価格福岡">#REF!</definedName>
    <definedName name="中">#REF!</definedName>
    <definedName name="中分類リスト">#REF!</definedName>
    <definedName name="注文番号">#REF!</definedName>
    <definedName name="長期未解決日数">#REF!</definedName>
    <definedName name="定期購入者数">#REF!</definedName>
    <definedName name="定期購入者明細申込み数">#REF!</definedName>
    <definedName name="店舗DF_KEYS">#REF!</definedName>
    <definedName name="店舗売上件数">#REF!</definedName>
    <definedName name="店舗売上保管月数">#REF!</definedName>
    <definedName name="店舗売上明細数">#REF!</definedName>
    <definedName name="登録番号">#REF!</definedName>
    <definedName name="督促レベルＡ比率">#REF!</definedName>
    <definedName name="督促レベルＥ比率">#REF!</definedName>
    <definedName name="督促停止率">#REF!</definedName>
    <definedName name="届け先違い率">#REF!</definedName>
    <definedName name="難易度">#REF!</definedName>
    <definedName name="入金ファイル保管月数">#REF!</definedName>
    <definedName name="入金経路対外会社数">#REF!</definedName>
    <definedName name="入金振替件数">#REF!</definedName>
    <definedName name="入金分割率">#REF!</definedName>
    <definedName name="入出荷ファイル保管月数">#REF!</definedName>
    <definedName name="入出荷件数">#REF!</definedName>
    <definedName name="納期">#REF!</definedName>
    <definedName name="配信ﾁｪｯｸ">#REF!</definedName>
    <definedName name="発行元">#REF!</definedName>
    <definedName name="発行先">#REF!</definedName>
    <definedName name="発生件数">#REF!</definedName>
    <definedName name="発生頻度">#REF!</definedName>
    <definedName name="半角">"A"</definedName>
    <definedName name="版">#REF!</definedName>
    <definedName name="販売先">#REF!</definedName>
    <definedName name="番号">#REF!</definedName>
    <definedName name="費用名">#REF!</definedName>
    <definedName name="標準連携タイミング">#REF!</definedName>
    <definedName name="標準連携方式">#REF!</definedName>
    <definedName name="表紙１">#REF!</definedName>
    <definedName name="表紙タイトル">#REF!</definedName>
    <definedName name="表紙業務名">#REF!</definedName>
    <definedName name="表紙見出し1">#REF!</definedName>
    <definedName name="表紙見出し2">#REF!</definedName>
    <definedName name="表紙見出し3">#REF!</definedName>
    <definedName name="表紙見出し4">#REF!</definedName>
    <definedName name="表紙見出し5">#REF!</definedName>
    <definedName name="表紙新">#REF!</definedName>
    <definedName name="表紙新１">#REF!</definedName>
    <definedName name="表紙新２">#REF!</definedName>
    <definedName name="表紙製品名">#REF!</definedName>
    <definedName name="表紙文書名">#REF!</definedName>
    <definedName name="払込入金比率">#REF!</definedName>
    <definedName name="物流DF_KEYS">#REF!</definedName>
    <definedName name="分割比率マスタ">#REF!</definedName>
    <definedName name="分類">#REF!</definedName>
    <definedName name="文字コード">#REF!</definedName>
    <definedName name="平均購入商品">#REF!</definedName>
    <definedName name="変更区分">#REF!</definedName>
    <definedName name="返金予約率">#REF!</definedName>
    <definedName name="返金率">#REF!</definedName>
    <definedName name="簿価残災対">#REF!</definedName>
    <definedName name="報告資料作成日">#REF!</definedName>
    <definedName name="方針">#REF!</definedName>
    <definedName name="未解決日数欄">#REF!</definedName>
    <definedName name="未顧客相談率">#REF!</definedName>
    <definedName name="問合せ件数">#REF!</definedName>
    <definedName name="輸出国">#REF!</definedName>
    <definedName name="輸出先">#REF!</definedName>
    <definedName name="輸出明細">#REF!</definedName>
    <definedName name="優先度">#REF!</definedName>
    <definedName name="有無">#REF!</definedName>
    <definedName name="郵自入金比率">#REF!</definedName>
    <definedName name="洋酒管轄一覧">#REF!</definedName>
    <definedName name="洋酒部最終型">#REF!</definedName>
    <definedName name="連携システム">#REF!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1" i="68" l="1"/>
  <c r="A18" i="65" l="1"/>
  <c r="A17" i="65"/>
  <c r="A16" i="65"/>
  <c r="A15" i="65"/>
  <c r="A14" i="65"/>
  <c r="A13" i="65"/>
  <c r="A12" i="65"/>
  <c r="A11" i="65"/>
  <c r="A10" i="65"/>
  <c r="A9" i="65"/>
  <c r="A8" i="65"/>
  <c r="A7" i="65"/>
  <c r="A6" i="65"/>
  <c r="A5" i="65"/>
  <c r="A4" i="6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tc={9B3D1FE5-D19E-4F7A-B515-F4E67F90255A}</author>
    <author>tc={3A0C19F5-F976-434D-8B88-3952954E570B}</author>
    <author>tc={B4C46BF9-931A-4C7E-8F84-6DD787503797}</author>
    <author>tc={79134743-A031-4C2F-B65D-5F306BC88B73}</author>
    <author>tc={1BB01942-683A-4490-B9FA-435DD66FC63D}</author>
  </authors>
  <commentList>
    <comment ref="L97" authorId="0" shapeId="0" xr:uid="{9B3D1FE5-D19E-4F7A-B515-F4E67F90255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更新）
機能名を修正（原文：臨床情報登録機能）</t>
      </text>
    </comment>
    <comment ref="L98" authorId="1" shapeId="0" xr:uid="{3A0C19F5-F976-434D-8B88-3952954E570B}">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更新）
機能名を修正（原文：臨床情報登録機能）
</t>
      </text>
    </comment>
    <comment ref="L102" authorId="2" shapeId="0" xr:uid="{B4C46BF9-931A-4C7E-8F84-6DD787503797}">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更新）
機能名を修正（原文：臨床情報登録機能）
</t>
      </text>
    </comment>
    <comment ref="Y102" authorId="3" shapeId="0" xr:uid="{79134743-A031-4C2F-B65D-5F306BC88B7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更新）臨床情報閲覧機能→臨床情報登録機能</t>
      </text>
    </comment>
    <comment ref="AE102" authorId="4" shapeId="0" xr:uid="{1BB01942-683A-4490-B9FA-435DD66FC63D}">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更新）
機能名を修正（原文：臨床情報登録機能）
</t>
      </text>
    </comment>
  </commentList>
</comments>
</file>

<file path=xl/sharedStrings.xml><?xml version="1.0" encoding="utf-8"?>
<sst xmlns="http://schemas.openxmlformats.org/spreadsheetml/2006/main" count="7399" uniqueCount="2681">
  <si>
    <t>令和8年度_案件台帳</t>
    <rPh sb="0" eb="2">
      <t>レイワ</t>
    </rPh>
    <rPh sb="3" eb="5">
      <t>ネンド</t>
    </rPh>
    <rPh sb="6" eb="8">
      <t>アンケン</t>
    </rPh>
    <rPh sb="8" eb="10">
      <t>ダイチョウ</t>
    </rPh>
    <phoneticPr fontId="2"/>
  </si>
  <si>
    <t>基本情報セクション</t>
    <phoneticPr fontId="2"/>
  </si>
  <si>
    <t>実装予定</t>
    <rPh sb="0" eb="2">
      <t>ジッソウ</t>
    </rPh>
    <rPh sb="2" eb="4">
      <t>ヨテイ</t>
    </rPh>
    <phoneticPr fontId="2"/>
  </si>
  <si>
    <t>要求事項</t>
    <rPh sb="0" eb="2">
      <t>ヨウキュウ</t>
    </rPh>
    <rPh sb="2" eb="4">
      <t>ジコウ</t>
    </rPh>
    <phoneticPr fontId="2"/>
  </si>
  <si>
    <t>案件ID</t>
  </si>
  <si>
    <t>行ID</t>
    <rPh sb="0" eb="1">
      <t>ギョウ</t>
    </rPh>
    <phoneticPr fontId="2"/>
  </si>
  <si>
    <t>案件区分</t>
    <rPh sb="0" eb="2">
      <t>アンケン</t>
    </rPh>
    <rPh sb="2" eb="4">
      <t>クブン</t>
    </rPh>
    <phoneticPr fontId="2"/>
  </si>
  <si>
    <t>案件名称</t>
  </si>
  <si>
    <t>更新履歴</t>
    <rPh sb="0" eb="2">
      <t>コウシン</t>
    </rPh>
    <rPh sb="2" eb="4">
      <t>リレキ</t>
    </rPh>
    <phoneticPr fontId="2"/>
  </si>
  <si>
    <t>案件種別</t>
  </si>
  <si>
    <t>発生契機</t>
    <rPh sb="2" eb="4">
      <t>ケイキ</t>
    </rPh>
    <phoneticPr fontId="2"/>
  </si>
  <si>
    <t>案件担当者</t>
    <rPh sb="0" eb="2">
      <t>アンケン</t>
    </rPh>
    <phoneticPr fontId="2"/>
  </si>
  <si>
    <t>起票者　</t>
    <rPh sb="0" eb="2">
      <t>キヒョウ</t>
    </rPh>
    <rPh sb="2" eb="3">
      <t>シャ</t>
    </rPh>
    <phoneticPr fontId="2"/>
  </si>
  <si>
    <t>案件起票日</t>
    <rPh sb="0" eb="2">
      <t>アンケン</t>
    </rPh>
    <rPh sb="2" eb="4">
      <t>キヒョウ</t>
    </rPh>
    <rPh sb="4" eb="5">
      <t>ビ</t>
    </rPh>
    <phoneticPr fontId="2"/>
  </si>
  <si>
    <t>案件概要</t>
    <rPh sb="0" eb="2">
      <t>アンケン</t>
    </rPh>
    <rPh sb="2" eb="4">
      <t>ガイヨウ</t>
    </rPh>
    <phoneticPr fontId="2"/>
  </si>
  <si>
    <t>背景・目的</t>
  </si>
  <si>
    <t>国民(医師含む)のメリット
※機能追加・改善のみ記載</t>
    <phoneticPr fontId="2"/>
  </si>
  <si>
    <t>ステークホルダー調整状況
(調整先、ステータス)</t>
    <rPh sb="8" eb="10">
      <t>チョウセイ</t>
    </rPh>
    <rPh sb="10" eb="12">
      <t>ジョウキョウ</t>
    </rPh>
    <rPh sb="14" eb="16">
      <t>チョウセイ</t>
    </rPh>
    <rPh sb="16" eb="17">
      <t>サキ</t>
    </rPh>
    <phoneticPr fontId="2"/>
  </si>
  <si>
    <t>医療機関等(ベンダー含む)への影響確認</t>
    <rPh sb="0" eb="5">
      <t>イリョウキカントウ</t>
    </rPh>
    <rPh sb="10" eb="11">
      <t>フク</t>
    </rPh>
    <rPh sb="15" eb="17">
      <t>エイキョウ</t>
    </rPh>
    <rPh sb="17" eb="19">
      <t>カクニン</t>
    </rPh>
    <phoneticPr fontId="2"/>
  </si>
  <si>
    <t>法令整備状況</t>
    <rPh sb="0" eb="4">
      <t>ホウレイセイビ</t>
    </rPh>
    <rPh sb="4" eb="6">
      <t>ジョウキョウ</t>
    </rPh>
    <phoneticPr fontId="2"/>
  </si>
  <si>
    <t>優先度</t>
    <rPh sb="0" eb="3">
      <t>ユウセンド</t>
    </rPh>
    <phoneticPr fontId="2"/>
  </si>
  <si>
    <t>リリース希望時期</t>
    <rPh sb="4" eb="6">
      <t>キボウ</t>
    </rPh>
    <rPh sb="6" eb="8">
      <t>ジキ</t>
    </rPh>
    <phoneticPr fontId="2"/>
  </si>
  <si>
    <t>実装判断</t>
    <rPh sb="0" eb="2">
      <t>ジッソウ</t>
    </rPh>
    <rPh sb="2" eb="4">
      <t>ハンダン</t>
    </rPh>
    <phoneticPr fontId="2"/>
  </si>
  <si>
    <t>調達時期</t>
    <rPh sb="0" eb="2">
      <t>チョウタツ</t>
    </rPh>
    <rPh sb="2" eb="4">
      <t>ジキ</t>
    </rPh>
    <phoneticPr fontId="2"/>
  </si>
  <si>
    <t>リリース時期</t>
    <rPh sb="4" eb="6">
      <t>ジキ</t>
    </rPh>
    <phoneticPr fontId="2"/>
  </si>
  <si>
    <t>備考
(移管先、取り下げ理由等)</t>
    <phoneticPr fontId="2"/>
  </si>
  <si>
    <t>対象業務</t>
    <rPh sb="0" eb="2">
      <t>タイショウ</t>
    </rPh>
    <rPh sb="2" eb="4">
      <t>ギョウム</t>
    </rPh>
    <phoneticPr fontId="2"/>
  </si>
  <si>
    <t>対象システム</t>
    <rPh sb="0" eb="2">
      <t>タイショウ</t>
    </rPh>
    <phoneticPr fontId="2"/>
  </si>
  <si>
    <t>要求事項</t>
    <rPh sb="0" eb="4">
      <t>ヨウキュウジコウ</t>
    </rPh>
    <phoneticPr fontId="2"/>
  </si>
  <si>
    <t>外部システムへの影響</t>
    <phoneticPr fontId="2"/>
  </si>
  <si>
    <t>備考</t>
    <rPh sb="0" eb="2">
      <t>ビコウ</t>
    </rPh>
    <phoneticPr fontId="2"/>
  </si>
  <si>
    <t>ステータス</t>
    <phoneticPr fontId="2"/>
  </si>
  <si>
    <t>ステータス更新日</t>
    <rPh sb="5" eb="8">
      <t>コウシンビ</t>
    </rPh>
    <phoneticPr fontId="2"/>
  </si>
  <si>
    <t>いつ、だれが、なぜ、何を更新したか記録を残す</t>
    <rPh sb="10" eb="11">
      <t>ナニ</t>
    </rPh>
    <rPh sb="12" eb="14">
      <t>コウシン</t>
    </rPh>
    <rPh sb="17" eb="19">
      <t>キロク</t>
    </rPh>
    <rPh sb="20" eb="21">
      <t>ノコ</t>
    </rPh>
    <phoneticPr fontId="2"/>
  </si>
  <si>
    <t>調整が完了していない場合は調整スケジュールを明確にし調達までに完了または完了目途がたっているかを確認する</t>
    <rPh sb="0" eb="2">
      <t>チョウセイ</t>
    </rPh>
    <rPh sb="3" eb="5">
      <t>カンリョウ</t>
    </rPh>
    <rPh sb="36" eb="38">
      <t>カンリョウ</t>
    </rPh>
    <rPh sb="38" eb="40">
      <t>モクト</t>
    </rPh>
    <rPh sb="48" eb="50">
      <t>カクニン</t>
    </rPh>
    <phoneticPr fontId="2"/>
  </si>
  <si>
    <t>医療機関等(ベンダー含む)への影響有無を確認し、必要に応じてJAHISとの調整事項があるか確認する</t>
    <rPh sb="0" eb="5">
      <t>イリョウキカントウ</t>
    </rPh>
    <rPh sb="10" eb="11">
      <t>フク</t>
    </rPh>
    <rPh sb="15" eb="17">
      <t>エイキョウ</t>
    </rPh>
    <rPh sb="17" eb="19">
      <t>ウム</t>
    </rPh>
    <rPh sb="20" eb="22">
      <t>カクニン</t>
    </rPh>
    <rPh sb="24" eb="26">
      <t>ヒツヨウ</t>
    </rPh>
    <rPh sb="27" eb="28">
      <t>オウ</t>
    </rPh>
    <rPh sb="37" eb="39">
      <t>チョウセイ</t>
    </rPh>
    <rPh sb="39" eb="41">
      <t>ジコウ</t>
    </rPh>
    <rPh sb="45" eb="47">
      <t>カクニン</t>
    </rPh>
    <phoneticPr fontId="2"/>
  </si>
  <si>
    <t>案件起票時のリリース希望時期を記載する</t>
    <rPh sb="0" eb="2">
      <t>アンケン</t>
    </rPh>
    <rPh sb="2" eb="5">
      <t>キヒョウトキ</t>
    </rPh>
    <rPh sb="10" eb="12">
      <t>キボウ</t>
    </rPh>
    <rPh sb="12" eb="14">
      <t>ジキ</t>
    </rPh>
    <rPh sb="15" eb="17">
      <t>キサイ</t>
    </rPh>
    <phoneticPr fontId="2"/>
  </si>
  <si>
    <t>開発事業者への調達が完了したら記載する</t>
    <rPh sb="0" eb="2">
      <t>カイハツ</t>
    </rPh>
    <rPh sb="2" eb="5">
      <t>ジギョウシャ</t>
    </rPh>
    <rPh sb="7" eb="9">
      <t>チョウタツ</t>
    </rPh>
    <rPh sb="10" eb="12">
      <t>カンリョウ</t>
    </rPh>
    <rPh sb="15" eb="17">
      <t>キサイ</t>
    </rPh>
    <phoneticPr fontId="2"/>
  </si>
  <si>
    <t>開発事業者への調達が完了しリリース時期が確定したら記載する</t>
    <rPh sb="0" eb="2">
      <t>カイハツ</t>
    </rPh>
    <rPh sb="2" eb="5">
      <t>ジギョウシャ</t>
    </rPh>
    <rPh sb="7" eb="9">
      <t>チョウタツ</t>
    </rPh>
    <rPh sb="10" eb="12">
      <t>カンリョウ</t>
    </rPh>
    <rPh sb="17" eb="19">
      <t>ジキ</t>
    </rPh>
    <rPh sb="20" eb="22">
      <t>カクテイ</t>
    </rPh>
    <rPh sb="25" eb="27">
      <t>キサイ</t>
    </rPh>
    <phoneticPr fontId="2"/>
  </si>
  <si>
    <t>006</t>
    <phoneticPr fontId="2"/>
  </si>
  <si>
    <t>006_01</t>
    <phoneticPr fontId="2"/>
  </si>
  <si>
    <t>文書情報</t>
    <rPh sb="0" eb="2">
      <t>ブンショ</t>
    </rPh>
    <rPh sb="2" eb="4">
      <t>ジョウホウ</t>
    </rPh>
    <phoneticPr fontId="2"/>
  </si>
  <si>
    <t>自院が登録した文書情報一覧要求I/F</t>
    <phoneticPr fontId="2"/>
  </si>
  <si>
    <t>2025/12/8 ACN 本田
12/8開発課題検討会にて取り下げ報告をしたため、実装判断・リリース希望時期を取り下げに変更。
取り下げ理由は備考(W列)を参照。
2025/10/29 ACN木村
令和8年度案件台帳のレイアウト改善に伴い、起票済み
令和8年度案件を新レイアウトに移行</t>
    <rPh sb="14" eb="16">
      <t>ホンダ</t>
    </rPh>
    <rPh sb="21" eb="28">
      <t>カイハツカダイケントウカイ</t>
    </rPh>
    <rPh sb="30" eb="31">
      <t>ト</t>
    </rPh>
    <rPh sb="32" eb="33">
      <t>サ</t>
    </rPh>
    <rPh sb="34" eb="36">
      <t>ホウコク</t>
    </rPh>
    <rPh sb="42" eb="44">
      <t>ジッソウ</t>
    </rPh>
    <rPh sb="44" eb="46">
      <t>ハンダン</t>
    </rPh>
    <rPh sb="51" eb="53">
      <t>キボウ</t>
    </rPh>
    <rPh sb="53" eb="55">
      <t>ジキ</t>
    </rPh>
    <rPh sb="56" eb="57">
      <t>ト</t>
    </rPh>
    <rPh sb="58" eb="59">
      <t>サ</t>
    </rPh>
    <rPh sb="61" eb="63">
      <t>ヘンコウ</t>
    </rPh>
    <rPh sb="65" eb="66">
      <t>ト</t>
    </rPh>
    <rPh sb="67" eb="68">
      <t>サ</t>
    </rPh>
    <rPh sb="69" eb="71">
      <t>リユウ</t>
    </rPh>
    <rPh sb="72" eb="74">
      <t>ビコウ</t>
    </rPh>
    <rPh sb="76" eb="77">
      <t>レツ</t>
    </rPh>
    <rPh sb="79" eb="81">
      <t>サンショウ</t>
    </rPh>
    <rPh sb="98" eb="100">
      <t>キムラ</t>
    </rPh>
    <rPh sb="101" eb="103">
      <t>レイワ</t>
    </rPh>
    <rPh sb="104" eb="106">
      <t>ネンド</t>
    </rPh>
    <rPh sb="106" eb="110">
      <t>アンケンダイチョウ</t>
    </rPh>
    <rPh sb="116" eb="118">
      <t>カイゼン</t>
    </rPh>
    <rPh sb="119" eb="120">
      <t>トモナ</t>
    </rPh>
    <rPh sb="122" eb="125">
      <t>キヒョウズ</t>
    </rPh>
    <rPh sb="127" eb="129">
      <t>レイワ</t>
    </rPh>
    <rPh sb="130" eb="132">
      <t>ネンド</t>
    </rPh>
    <rPh sb="132" eb="134">
      <t>アンケン</t>
    </rPh>
    <rPh sb="135" eb="136">
      <t>シン</t>
    </rPh>
    <rPh sb="142" eb="144">
      <t>イコウ</t>
    </rPh>
    <phoneticPr fontId="2"/>
  </si>
  <si>
    <t>機能改善</t>
  </si>
  <si>
    <t>モデル事業（実地検証含む）</t>
    <rPh sb="3" eb="5">
      <t>ジギョウ</t>
    </rPh>
    <rPh sb="6" eb="10">
      <t>ジッチケンショウ</t>
    </rPh>
    <rPh sb="10" eb="11">
      <t>フク</t>
    </rPh>
    <phoneticPr fontId="2"/>
  </si>
  <si>
    <t>厚労省</t>
    <rPh sb="0" eb="2">
      <t>コウロウ</t>
    </rPh>
    <rPh sb="2" eb="3">
      <t>ショウ</t>
    </rPh>
    <phoneticPr fontId="2"/>
  </si>
  <si>
    <t>ACN本田</t>
    <rPh sb="3" eb="5">
      <t>ホンダ</t>
    </rPh>
    <phoneticPr fontId="2"/>
  </si>
  <si>
    <t>文書情報状況照会機能の医療機関への返却項目に「（紹介先医療機関の）医療機関コード」、「（紹介先医療機関の）名称」、「（紹介先医療機関の）医師名」を追加する。</t>
    <phoneticPr fontId="2"/>
  </si>
  <si>
    <t>■起票背景
現状、文書情報状況照会機能については、自医院が送付した文書IDで照会をかけ、その文書に関するステータス等の情報が表示されるようになっている。
一方、実地検証にて、本サービスの利便性向上案として以下の要望を受領。
---
自院が登録している文書を一覧照会できるI/Fを追加したい
■目的
紹介元医療機関が現在どれくらい文書を他院に送信し、そのステータスがどのようになっているかを全体把握できることで、地域連携室等の事務職員の業務に役立つ</t>
    <rPh sb="26" eb="28">
      <t>イイン</t>
    </rPh>
    <phoneticPr fontId="2"/>
  </si>
  <si>
    <t>紹介元医療機関が現在どれくらい文書を他院に送信し、そのステータスがどのようになっているかを全体把握できることで、地域連携室等の事務職員の業務の利便性が向上する</t>
    <rPh sb="71" eb="74">
      <t>リベンセイ</t>
    </rPh>
    <rPh sb="75" eb="77">
      <t>コウジョウ</t>
    </rPh>
    <phoneticPr fontId="2"/>
  </si>
  <si>
    <t>JAHIS：未着手</t>
    <rPh sb="6" eb="9">
      <t>ミチャクシュ</t>
    </rPh>
    <phoneticPr fontId="2"/>
  </si>
  <si>
    <t>ベンダによる</t>
    <phoneticPr fontId="2"/>
  </si>
  <si>
    <t>不要（仮）</t>
    <rPh sb="0" eb="2">
      <t>フヨウ</t>
    </rPh>
    <rPh sb="3" eb="4">
      <t>カリ</t>
    </rPh>
    <phoneticPr fontId="2"/>
  </si>
  <si>
    <t>　</t>
  </si>
  <si>
    <t>取り下げ</t>
    <rPh sb="0" eb="1">
      <t>ト</t>
    </rPh>
    <rPh sb="2" eb="3">
      <t>サ</t>
    </rPh>
    <phoneticPr fontId="2"/>
  </si>
  <si>
    <t>取り下げ理由：下記の理由により取り下げる。
・現在の仕様においても自施設が登録した文書一覧は資格確認端末で閲覧できること。
・費用対効果が小さいこと</t>
    <rPh sb="0" eb="4">
      <t>トリサゲリ</t>
    </rPh>
    <rPh sb="4" eb="6">
      <t>ユウ</t>
    </rPh>
    <rPh sb="7" eb="9">
      <t>カキ</t>
    </rPh>
    <rPh sb="10" eb="12">
      <t>リユウ</t>
    </rPh>
    <rPh sb="15" eb="16">
      <t>ト</t>
    </rPh>
    <rPh sb="17" eb="18">
      <t>サ</t>
    </rPh>
    <phoneticPr fontId="2"/>
  </si>
  <si>
    <t>文書情報の登録状況照会</t>
    <rPh sb="0" eb="4">
      <t>ブンショジョウホウ</t>
    </rPh>
    <rPh sb="5" eb="7">
      <t>トウロク</t>
    </rPh>
    <rPh sb="7" eb="9">
      <t>ジョウキョウ</t>
    </rPh>
    <rPh sb="9" eb="11">
      <t>ショウカイ</t>
    </rPh>
    <phoneticPr fontId="2"/>
  </si>
  <si>
    <t>電カル共有</t>
    <rPh sb="0" eb="1">
      <t>デン</t>
    </rPh>
    <rPh sb="3" eb="5">
      <t>キョウユウ</t>
    </rPh>
    <phoneticPr fontId="2"/>
  </si>
  <si>
    <t>機能：文書情報状況照会一覧結果
内容：「文書情報状況照会一覧結果」のI/F追加。
要求リクエスト時には、文書を登録した日付の期間、患者名、紹介先医療機関、紹介元医療機関の診療科・医師名（あいまい検索含む）で絞りこむことができる仕様を想定。
結果ファイルは、「文書情報状況照会結果」と同様の項目を想定。</t>
    <phoneticPr fontId="2"/>
  </si>
  <si>
    <t>既存の通り</t>
    <rPh sb="0" eb="2">
      <t>キソン</t>
    </rPh>
    <rPh sb="3" eb="4">
      <t>トオ</t>
    </rPh>
    <phoneticPr fontId="2"/>
  </si>
  <si>
    <t>e</t>
    <phoneticPr fontId="2"/>
  </si>
  <si>
    <t>007</t>
    <phoneticPr fontId="2"/>
  </si>
  <si>
    <t>007_01</t>
    <phoneticPr fontId="2"/>
  </si>
  <si>
    <t>文書情報</t>
  </si>
  <si>
    <t>紹介先医療機関での文書情報閲覧の口頭同意</t>
    <rPh sb="0" eb="3">
      <t>ショウカイサキ</t>
    </rPh>
    <rPh sb="3" eb="5">
      <t>イリョウ</t>
    </rPh>
    <rPh sb="5" eb="7">
      <t>キカン</t>
    </rPh>
    <rPh sb="9" eb="11">
      <t>ブンショ</t>
    </rPh>
    <rPh sb="11" eb="13">
      <t>ジョウホウ</t>
    </rPh>
    <rPh sb="13" eb="15">
      <t>エツラン</t>
    </rPh>
    <rPh sb="16" eb="18">
      <t>コウトウ</t>
    </rPh>
    <rPh sb="18" eb="20">
      <t>ドウイ</t>
    </rPh>
    <phoneticPr fontId="2"/>
  </si>
  <si>
    <t>2025/12/8 ACN本田
12/1開発課題検討会にて取り下げを報告したため、実装判断・リリース希望時期を取り下げに変更。
取り下げ理由は備考(W列)を参照
2025/10/29 ACN木村
令和8年度案件台帳のレイアウト改善に伴い、起票済み令和8年度案件を新レイアウトに移行</t>
    <rPh sb="13" eb="15">
      <t>ホンダ</t>
    </rPh>
    <rPh sb="20" eb="27">
      <t>カイハツカダイケントウカイ</t>
    </rPh>
    <rPh sb="29" eb="30">
      <t>ト</t>
    </rPh>
    <rPh sb="31" eb="32">
      <t>サ</t>
    </rPh>
    <rPh sb="34" eb="36">
      <t>ホウコク</t>
    </rPh>
    <rPh sb="41" eb="43">
      <t>ジッソウ</t>
    </rPh>
    <rPh sb="43" eb="45">
      <t>ハンダン</t>
    </rPh>
    <rPh sb="50" eb="52">
      <t>キボウ</t>
    </rPh>
    <rPh sb="52" eb="54">
      <t>ジキ</t>
    </rPh>
    <rPh sb="55" eb="56">
      <t>ト</t>
    </rPh>
    <rPh sb="57" eb="58">
      <t>サ</t>
    </rPh>
    <rPh sb="60" eb="62">
      <t>ヘンコウ</t>
    </rPh>
    <rPh sb="64" eb="65">
      <t>ト</t>
    </rPh>
    <rPh sb="66" eb="67">
      <t>サ</t>
    </rPh>
    <rPh sb="68" eb="70">
      <t>リユウ</t>
    </rPh>
    <rPh sb="71" eb="73">
      <t>ビコウ</t>
    </rPh>
    <rPh sb="75" eb="76">
      <t>レツ</t>
    </rPh>
    <rPh sb="96" eb="98">
      <t>キムラ</t>
    </rPh>
    <rPh sb="99" eb="101">
      <t>レイワ</t>
    </rPh>
    <rPh sb="102" eb="104">
      <t>ネンド</t>
    </rPh>
    <rPh sb="104" eb="108">
      <t>アンケンダイチョウ</t>
    </rPh>
    <rPh sb="114" eb="116">
      <t>カイゼン</t>
    </rPh>
    <rPh sb="117" eb="118">
      <t>トモナ</t>
    </rPh>
    <rPh sb="120" eb="123">
      <t>キヒョウズ</t>
    </rPh>
    <rPh sb="124" eb="126">
      <t>レイワ</t>
    </rPh>
    <rPh sb="127" eb="129">
      <t>ネンド</t>
    </rPh>
    <rPh sb="129" eb="131">
      <t>アンケン</t>
    </rPh>
    <rPh sb="132" eb="133">
      <t>シン</t>
    </rPh>
    <rPh sb="139" eb="141">
      <t>イコウ</t>
    </rPh>
    <phoneticPr fontId="2"/>
  </si>
  <si>
    <t>モデル事業(実地検証含む)</t>
  </si>
  <si>
    <t>閲覧保留で登録された場合に、紹介先医療機関で顔認証付きカードリーダーでの同意だけでなく、医師が患者から口頭で同意確認できれば取得可能にする</t>
  </si>
  <si>
    <t>■起票背景
紹介元医療機関で閲覧保留を設定して、閲覧保留のまま紹介先医療機関に受診し、さらにマイナ保険証を持っていない患者（マイナ保険証をそもそも持っていない、マイナ保険証を持ってくるのを忘れた）については、紹介先医療機関側で診療情報提供書を閲覧ができないことを検知。
■目的
紹介元医療機関で閲覧保留を設定して、閲覧保留のまま紹介先医療機関に受診し、さらにマイナ保険証を持っていない患者（マイナ保険証をそもそも持っていない、マイナ保険証を持ってくるのを忘れた）についても、診察室等で本人からの口頭同意を取得できれば、紹介先医療機関が当該診療情報提供書を取得できるようにする。</t>
    <rPh sb="1" eb="3">
      <t>キヒョウ</t>
    </rPh>
    <rPh sb="3" eb="5">
      <t>ハイケイ</t>
    </rPh>
    <rPh sb="137" eb="139">
      <t>モクテキ</t>
    </rPh>
    <phoneticPr fontId="2"/>
  </si>
  <si>
    <t>紹介元医療機関で閲覧保留を設定して、閲覧保留のまま紹介先医療機関に受診し、さらにマイナ保険証を持っていない患者（マイナ保険証をそもそも持っていない、マイナ保険証を持ってくるのを忘れた）については、紹介先医療機関側で診療情報提供書を閲覧ができるようになる</t>
    <phoneticPr fontId="2"/>
  </si>
  <si>
    <t>個人情報保護委員会：未着手</t>
    <rPh sb="0" eb="9">
      <t>コジンジョウホウホゴイインカイ</t>
    </rPh>
    <rPh sb="10" eb="13">
      <t>ミチャクシュ</t>
    </rPh>
    <phoneticPr fontId="2"/>
  </si>
  <si>
    <t>影響あり</t>
    <rPh sb="0" eb="2">
      <t>エイキョウ</t>
    </rPh>
    <phoneticPr fontId="2"/>
  </si>
  <si>
    <t>確認中</t>
    <rPh sb="0" eb="3">
      <t>カクニンチュウ</t>
    </rPh>
    <phoneticPr fontId="2"/>
  </si>
  <si>
    <t>取り下げ理由：閲覧保留の運用は行わない方針となったため</t>
    <rPh sb="0" eb="4">
      <t>トリサゲリ</t>
    </rPh>
    <rPh sb="4" eb="6">
      <t>ユウ</t>
    </rPh>
    <phoneticPr fontId="2"/>
  </si>
  <si>
    <t>文書同意管理機能</t>
    <phoneticPr fontId="2"/>
  </si>
  <si>
    <t>機能：文書同意管理機能
内容：文書情報取得要求I/Fに「口頭同意」の記録項目を追加する。中央側は、閲覧保留ステータスで且つ、口頭同意があることが確認できた文書情報である場合は、文書情報のステータスを閲覧保留→閲覧可（※）に変更したうえで当該文書情報を返却する。
※マイナポータルではどういう同意取得方法で文書が閲覧可能になったのかが分かるため、上記のように紹介先医療機関での口頭同意により文書が閲覧可能となったことが分かるようにする。</t>
    <phoneticPr fontId="2"/>
  </si>
  <si>
    <t>011</t>
  </si>
  <si>
    <t>011_01</t>
  </si>
  <si>
    <t>健診文書</t>
  </si>
  <si>
    <t>健診PDF帳票の表示件数の拡張</t>
    <rPh sb="0" eb="2">
      <t>ケンシン</t>
    </rPh>
    <rPh sb="5" eb="7">
      <t>チョウヒョウ</t>
    </rPh>
    <rPh sb="8" eb="10">
      <t>ヒョウジ</t>
    </rPh>
    <rPh sb="10" eb="12">
      <t>ケンスウ</t>
    </rPh>
    <rPh sb="13" eb="15">
      <t>カクチョウ</t>
    </rPh>
    <phoneticPr fontId="2"/>
  </si>
  <si>
    <r>
      <rPr>
        <sz val="11"/>
        <color rgb="FFFF0000"/>
        <rFont val="Meiryo UI"/>
        <family val="3"/>
        <charset val="128"/>
      </rPr>
      <t xml:space="preserve">2026/9/25 ACN黒川
・厚労省での検討の結果、リリース希望時期を令和9年度以降から令和9年度に変更。
・起票背景、要求事項等を追記。
・法令整備を不要(仮)から不要に変更。
</t>
    </r>
    <r>
      <rPr>
        <sz val="11"/>
        <color theme="1"/>
        <rFont val="Meiryo UI"/>
        <family val="3"/>
        <charset val="128"/>
      </rPr>
      <t xml:space="preserve">
2025/11/25 ACN 本田
令和8年度案件台帳のレイアウト改善に伴い、起票済み令和8年度以降案件を新レイアウトに移行</t>
    </r>
    <rPh sb="49" eb="51">
      <t>ネンド</t>
    </rPh>
    <rPh sb="57" eb="59">
      <t>キヒョウ</t>
    </rPh>
    <rPh sb="59" eb="61">
      <t>ハイケイ</t>
    </rPh>
    <rPh sb="62" eb="64">
      <t>ヨウキュウ</t>
    </rPh>
    <rPh sb="64" eb="66">
      <t>ジコウ</t>
    </rPh>
    <rPh sb="66" eb="67">
      <t>トウ</t>
    </rPh>
    <rPh sb="68" eb="70">
      <t>ツイキ</t>
    </rPh>
    <rPh sb="73" eb="75">
      <t>ホウレイ</t>
    </rPh>
    <rPh sb="75" eb="77">
      <t>セイビ</t>
    </rPh>
    <rPh sb="78" eb="80">
      <t>フヨウ</t>
    </rPh>
    <rPh sb="81" eb="82">
      <t>カリ</t>
    </rPh>
    <rPh sb="85" eb="87">
      <t>フヨウ</t>
    </rPh>
    <rPh sb="88" eb="90">
      <t>ヘンコウホンダイコウ</t>
    </rPh>
    <phoneticPr fontId="2"/>
  </si>
  <si>
    <t>機能改善</t>
    <rPh sb="0" eb="2">
      <t>キノウ</t>
    </rPh>
    <rPh sb="2" eb="4">
      <t>カイゼン</t>
    </rPh>
    <phoneticPr fontId="2"/>
  </si>
  <si>
    <t>基金内部検知/要望</t>
  </si>
  <si>
    <t>健診PDF帳票の表示上限を5回分から５年分(回数上限なし)に変更する</t>
  </si>
  <si>
    <t>■起票背景
・利活用WGにおいて、健診結果報告書のオン資システムへの保存期間は5年間であると公開している。
・健診情報については、受診者本人の回を追うごとの経時的変化を見られたほうが、情報活用の観点から好ましい。
■目的
・健診PDF帳票の表示上限を5回分から5年分に変更することで、受診者の健診結果の変化をより中期的に閲覧できるようにすることで、医療従事者・患者に対して閲覧メリットを向上させる。</t>
    <rPh sb="1" eb="3">
      <t>キヒョウ</t>
    </rPh>
    <rPh sb="3" eb="5">
      <t>ハイケイ</t>
    </rPh>
    <rPh sb="109" eb="111">
      <t>モクテキ</t>
    </rPh>
    <phoneticPr fontId="2"/>
  </si>
  <si>
    <t>受診者の健診結果の変化をより中期的に閲覧できるようになる</t>
    <phoneticPr fontId="2"/>
  </si>
  <si>
    <t>不要</t>
    <rPh sb="0" eb="2">
      <t>フヨウ</t>
    </rPh>
    <phoneticPr fontId="2"/>
  </si>
  <si>
    <t>令和9年度</t>
    <rPh sb="0" eb="2">
      <t>レイワ</t>
    </rPh>
    <rPh sb="3" eb="5">
      <t>ネンド</t>
    </rPh>
    <phoneticPr fontId="2"/>
  </si>
  <si>
    <t>検討中</t>
    <rPh sb="0" eb="3">
      <t>ケントウチュウ</t>
    </rPh>
    <phoneticPr fontId="2"/>
  </si>
  <si>
    <t>健診文書の閲覧</t>
    <rPh sb="0" eb="2">
      <t>ケンシン</t>
    </rPh>
    <rPh sb="2" eb="4">
      <t>ブンショ</t>
    </rPh>
    <rPh sb="5" eb="7">
      <t>エツラン</t>
    </rPh>
    <phoneticPr fontId="2"/>
  </si>
  <si>
    <t>■機能：
健診結果のPDF帳票の出力機能
■内容
　健診結果のPDF帳票の表示上限を5回分から５年分に変更する。</t>
    <phoneticPr fontId="2"/>
  </si>
  <si>
    <t>最終の開発要否は、要件定義フェーズで作成されたレイアウトイメージを踏まえて決定させていただきたい。</t>
    <phoneticPr fontId="2"/>
  </si>
  <si>
    <t>015</t>
  </si>
  <si>
    <t>015_01</t>
  </si>
  <si>
    <t>健診結果報告書の医療扶助対応</t>
  </si>
  <si>
    <r>
      <rPr>
        <sz val="11"/>
        <color rgb="FFFF0000"/>
        <rFont val="Meiryo UI"/>
        <family val="3"/>
        <charset val="128"/>
      </rPr>
      <t xml:space="preserve">2026/9/25 ACN黒川
厚労省での検討の結果、リリース希望時期を令和9年度以降から令和10年度以降に変更。
</t>
    </r>
    <r>
      <rPr>
        <sz val="11"/>
        <color theme="1"/>
        <rFont val="Meiryo UI"/>
        <family val="3"/>
        <charset val="128"/>
      </rPr>
      <t xml:space="preserve">
2025/11/25 ACN 本田
令和8年度案件台帳のレイアウト改善に伴い、起票済み令和8年度以降案件を新レイアウトに移行</t>
    </r>
    <rPh sb="16" eb="19">
      <t>コウロウショウ</t>
    </rPh>
    <rPh sb="21" eb="23">
      <t>ケントウ</t>
    </rPh>
    <rPh sb="24" eb="26">
      <t>ケッカ</t>
    </rPh>
    <rPh sb="31" eb="33">
      <t>キボウ</t>
    </rPh>
    <rPh sb="33" eb="35">
      <t>ジキ</t>
    </rPh>
    <rPh sb="36" eb="38">
      <t>レイワ</t>
    </rPh>
    <rPh sb="39" eb="41">
      <t>ネンド</t>
    </rPh>
    <rPh sb="41" eb="43">
      <t>イコウ</t>
    </rPh>
    <rPh sb="45" eb="47">
      <t>レイワ</t>
    </rPh>
    <rPh sb="49" eb="51">
      <t>ネンド</t>
    </rPh>
    <rPh sb="51" eb="53">
      <t>イコウ</t>
    </rPh>
    <rPh sb="54" eb="56">
      <t>ヘンコウ</t>
    </rPh>
    <rPh sb="74" eb="76">
      <t>ホンダ</t>
    </rPh>
    <rPh sb="107" eb="109">
      <t>イコウ</t>
    </rPh>
    <phoneticPr fontId="2"/>
  </si>
  <si>
    <t>機能追加</t>
    <rPh sb="0" eb="2">
      <t>キノウ</t>
    </rPh>
    <rPh sb="2" eb="4">
      <t>ツイカ</t>
    </rPh>
    <phoneticPr fontId="2"/>
  </si>
  <si>
    <t>厚労省内部検知/要望</t>
  </si>
  <si>
    <t>ACN・本田</t>
    <rPh sb="4" eb="6">
      <t>ホンダ</t>
    </rPh>
    <phoneticPr fontId="2"/>
  </si>
  <si>
    <t>健診結果報告書の医療扶助対応(福祉事務所への健診結果報告書の連携)　</t>
  </si>
  <si>
    <t>■起票背景
直近では福祉事務所に特定保健指導の登録を求めるなどの改修対応を依頼しており、社援局保護課から電子カルテ情報共有サービスのための改修を福祉事務所に依頼できるフェーズではないという意見を受領したため、現在対応を保留としている。福祉事務所の改修費用への手当については社援局保護課の所掌となるため、その状況を踏まえて再度改修時期を検討する必要がある。
■目的
健康増進法施行規則に基づき実施する健康診査のうち 生活保護法に規定する被保護者に対して行う健康診査(以下、被保護者健診という。)を電子カルテ情報共有サービスを通して福祉事務所へ連携できるようにする</t>
    <rPh sb="1" eb="3">
      <t>キヒョウ</t>
    </rPh>
    <rPh sb="3" eb="5">
      <t>ハイケイ</t>
    </rPh>
    <rPh sb="180" eb="182">
      <t>モクテキ</t>
    </rPh>
    <phoneticPr fontId="2"/>
  </si>
  <si>
    <t>被保護者に対して行う健康診査(以下、被保護者健診という。)を電子カルテ情報共有サービスを通して福祉事務所へ連携できるようになる</t>
  </si>
  <si>
    <t>社会援護局：リリース時期が今年度中ではないことは確認済</t>
    <rPh sb="0" eb="2">
      <t>シャカイ</t>
    </rPh>
    <rPh sb="2" eb="4">
      <t>エンゴ</t>
    </rPh>
    <rPh sb="4" eb="5">
      <t>キョク</t>
    </rPh>
    <rPh sb="10" eb="12">
      <t>ジキ</t>
    </rPh>
    <rPh sb="13" eb="15">
      <t>コトシ</t>
    </rPh>
    <phoneticPr fontId="2"/>
  </si>
  <si>
    <t>未対応</t>
    <rPh sb="0" eb="3">
      <t>ミタイオウ</t>
    </rPh>
    <phoneticPr fontId="2"/>
  </si>
  <si>
    <t>令和10年度以降</t>
    <rPh sb="0" eb="2">
      <t>レイワ</t>
    </rPh>
    <rPh sb="4" eb="6">
      <t>ネンド</t>
    </rPh>
    <rPh sb="6" eb="8">
      <t>イコウ</t>
    </rPh>
    <phoneticPr fontId="2"/>
  </si>
  <si>
    <t>(被保護者健診を登録できないようなチェックがかかっている場合）、医療機関が被保護者健診を登録できるようにアドオンチェックを改修する。
■備考
・社会援護局と調整し、3月リリース案件とするかは検討。
・セクションコードを新しく作ることになるため医療機関の改修が発生する。（健診項目の追加はない)</t>
  </si>
  <si>
    <t>015_02</t>
  </si>
  <si>
    <r>
      <rPr>
        <sz val="11"/>
        <color rgb="FFFF0000"/>
        <rFont val="Meiryo UI"/>
        <family val="3"/>
        <charset val="128"/>
      </rPr>
      <t>2026/9/25 ACN黒川
厚労省での検討の結果、リリース希望時期を令和9年度以降から令和10年度以降に変更。</t>
    </r>
    <r>
      <rPr>
        <sz val="11"/>
        <color theme="1"/>
        <rFont val="Meiryo UI"/>
        <family val="3"/>
        <charset val="128"/>
      </rPr>
      <t xml:space="preserve">
2025/11/25 ACN 本田
令和8年度案件台帳のレイアウト改善に伴い、起票済み令和8年度以降案件を新レイアウトに移行</t>
    </r>
    <rPh sb="74" eb="76">
      <t>ホンダ</t>
    </rPh>
    <rPh sb="107" eb="109">
      <t>イコウ</t>
    </rPh>
    <phoneticPr fontId="2"/>
  </si>
  <si>
    <t>オン資</t>
    <rPh sb="2" eb="3">
      <t>シ</t>
    </rPh>
    <phoneticPr fontId="2"/>
  </si>
  <si>
    <t>被保護者健診結果を医療機関等にて閲覧できる。
■備考
・社会援護局と調整し、3月リリース案件とするかは検討。
・セクションコードを新しく作ることになるため医療機関の改修が発生する。（健診項目の追加はない)</t>
  </si>
  <si>
    <t>015</t>
    <phoneticPr fontId="2"/>
  </si>
  <si>
    <t>015_03</t>
  </si>
  <si>
    <t>収集</t>
    <rPh sb="0" eb="2">
      <t>シュウシュウ</t>
    </rPh>
    <phoneticPr fontId="2"/>
  </si>
  <si>
    <t>被保護者健診結果を収集システムに格納し、生活保護システム/レセプト管理システムに連携し、福祉事務所にて閲覧できるようにする。
■備考
・社会援護局と調整し、3月リリース案件とするかは検討。
・セクションコードを新しく作ることになるため医療機関の改修が発生する。（健診項目の追加はない)</t>
  </si>
  <si>
    <t>019</t>
  </si>
  <si>
    <t>019_01</t>
  </si>
  <si>
    <t>標準マスタ</t>
  </si>
  <si>
    <t>医薬品のダミーコード(未標準化コード)の利用</t>
  </si>
  <si>
    <t>2025/11/25 ACN 本田
令和8年度案件台帳のレイアウト改善に伴い、起票済み令和8年度以降案件を新レイアウトに移行</t>
    <rPh sb="15" eb="17">
      <t>ホンダ</t>
    </rPh>
    <rPh sb="48" eb="50">
      <t>イコウ</t>
    </rPh>
    <phoneticPr fontId="2"/>
  </si>
  <si>
    <t>YJコードは、保険収載医薬品しか取り扱っていないため、医薬品のダミーコード(未標準化コード)の利用を可とする</t>
  </si>
  <si>
    <t>■起票背景
YJコードは、保険収載医薬品しか収載していないため、それ以外の医薬品(治験段階の未承認薬、ワクチン、経口避妊薬等)をコードで記述することができない状況となっている。
現行、電子カルテ情報共有サービスで使用するMedicationRequestリソースにはYJコードを記述することを必須としており、それ以外の登録を受け付けていない。また、電子カルテ情報共有サービスでは、一般名処方マスタの使用も認めていない。そのため、これらの非保険医薬品や一般名処方を記述する場合には、Compositionリソースに叙述記載する運用となっている。
■目的
YJコードで記述することのできない医薬品・処方情報についても、臨床情報一覧に出力できるようにする。</t>
  </si>
  <si>
    <t>YJコードで記述することのできない医薬品・処方情報についても、臨床情報一覧にて閲覧できるようになる</t>
    <rPh sb="39" eb="41">
      <t>エツラン</t>
    </rPh>
    <phoneticPr fontId="2"/>
  </si>
  <si>
    <t>不要(仮)</t>
    <rPh sb="0" eb="2">
      <t>フヨウ</t>
    </rPh>
    <rPh sb="3" eb="4">
      <t>カリ</t>
    </rPh>
    <phoneticPr fontId="2"/>
  </si>
  <si>
    <t>処方情報の蓋開け時</t>
    <rPh sb="0" eb="4">
      <t>ショホウジョウホウ</t>
    </rPh>
    <rPh sb="5" eb="7">
      <t>フタア</t>
    </rPh>
    <rPh sb="8" eb="9">
      <t>トキ</t>
    </rPh>
    <phoneticPr fontId="2"/>
  </si>
  <si>
    <t>019_02</t>
  </si>
  <si>
    <t>臨床情報の閲覧</t>
    <rPh sb="0" eb="4">
      <t>リンショウジョウホウ</t>
    </rPh>
    <rPh sb="5" eb="7">
      <t>エツラン</t>
    </rPh>
    <phoneticPr fontId="2"/>
  </si>
  <si>
    <t>■要求事項
・機能：アドオンチェック機能
・内容：MedicationRequest.medication[x].coding:nocoded（医薬品未標準化コード）でも記述可能とするようにチェック仕様を修正する。
■備考
・電子処方箋でダミーコードの利用を取りやめる方向であることを踏まえ、また、紐づけ誤りのリスクも踏まえて、作業班第１回（６月１～２週実施予定）で付議予定である。作業班での検討結果によっては案件として落ちる可能性がある。</t>
  </si>
  <si>
    <t>021</t>
  </si>
  <si>
    <t>021_01</t>
  </si>
  <si>
    <t>臨床情報(処方)</t>
  </si>
  <si>
    <t>処方情報の抽出条件変更</t>
  </si>
  <si>
    <t>退院時文書の処方情報のみを表示する</t>
    <rPh sb="0" eb="3">
      <t>タイインジ</t>
    </rPh>
    <rPh sb="3" eb="5">
      <t>ブンショ</t>
    </rPh>
    <rPh sb="6" eb="10">
      <t>ショホウジョウホウ</t>
    </rPh>
    <rPh sb="13" eb="15">
      <t>ヒョウジ</t>
    </rPh>
    <phoneticPr fontId="2"/>
  </si>
  <si>
    <t>■起票背景
現行、臨床情報における処方情報は「診療情報提供書」・「退院時サマリ」に記録された処方情報(MedicationRequestで記述されたもの)の全量を対象に直近100日分を抽出・表示している。
これにより、紹介元医療機関が他医療機関に情報共有すべきと判断した要点の把握に役立てることを目的としている。
■目的
診療情報提供書・退院時サマリから抽出範囲は最もニーズの高いものに絞り込みを行う。</t>
  </si>
  <si>
    <t>外来時の処方情報については、電子処方箋の院外処方と被る他、関連課題ID19「医薬品のダミーコード(未標準化コード)の利用」における課題も発生し、医療DX全体から見た本処方情報の位置づけがあいまいになり、且つ玉石混合なデータ表示がされてしまうリスクが改善される</t>
    <rPh sb="124" eb="126">
      <t>カイゼン</t>
    </rPh>
    <phoneticPr fontId="2"/>
  </si>
  <si>
    <t>ー</t>
    <phoneticPr fontId="2"/>
  </si>
  <si>
    <t>■要求事項
・機能：文書情報の抽出機能
・内容：文書のComposition.category要素が「退院時(DISCHARGE)」のものに限定して、データ抽出を行う。
■備考
作業班第１回（６月１～２週実施予定）で付議予定のため、作業班での検討結果によっては案件として落ちる可能性がある。</t>
    <rPh sb="0" eb="5">
      <t>シカクヨウキュウジコウ</t>
    </rPh>
    <rPh sb="7" eb="9">
      <t>キノウ</t>
    </rPh>
    <rPh sb="10" eb="12">
      <t>ブンショ</t>
    </rPh>
    <rPh sb="12" eb="14">
      <t>ジョウホウ</t>
    </rPh>
    <rPh sb="15" eb="19">
      <t>チュウシュツキノウ</t>
    </rPh>
    <rPh sb="21" eb="23">
      <t>ナイヨウ</t>
    </rPh>
    <rPh sb="24" eb="26">
      <t>ブンショ</t>
    </rPh>
    <rPh sb="47" eb="49">
      <t>ヨウソ</t>
    </rPh>
    <rPh sb="51" eb="54">
      <t>タイインジ</t>
    </rPh>
    <rPh sb="70" eb="72">
      <t>ゲンテイ</t>
    </rPh>
    <rPh sb="78" eb="80">
      <t>チュウシュツ</t>
    </rPh>
    <rPh sb="81" eb="82">
      <t>オコナ</t>
    </rPh>
    <rPh sb="87" eb="89">
      <t>ビコウ</t>
    </rPh>
    <phoneticPr fontId="4"/>
  </si>
  <si>
    <t>035</t>
  </si>
  <si>
    <t>035_01</t>
  </si>
  <si>
    <t>その他</t>
  </si>
  <si>
    <t>感染症発生届の連携機能の追加</t>
    <rPh sb="7" eb="9">
      <t>レンケイ</t>
    </rPh>
    <rPh sb="9" eb="11">
      <t>キノウ</t>
    </rPh>
    <phoneticPr fontId="2"/>
  </si>
  <si>
    <r>
      <rPr>
        <sz val="11"/>
        <color rgb="FFFF0000"/>
        <rFont val="Meiryo UI"/>
        <family val="3"/>
        <charset val="128"/>
      </rPr>
      <t xml:space="preserve">2026/9/25 ACN黒川
厚労省にて確認の結果、電子カルテ情報共有サービスの予算での開発の対象外の案件のため、取り下げする。
</t>
    </r>
    <r>
      <rPr>
        <sz val="11"/>
        <color theme="1"/>
        <rFont val="Meiryo UI"/>
        <family val="3"/>
        <charset val="128"/>
      </rPr>
      <t xml:space="preserve">
2025/12/17 ACN本田
12/15開発課題検討会にて報告したとおり、案件035の開発スケジュールは以下を予定しているため、リリース希望時期を「令和9年度以降」に更新
＜感染症発生届のスケジュール＞
　・R08：要件定義(詳細は省内調整中)
　・R09：改修
　・R10秋：リリース
2025/11/25 ACN 本田
令和8年度案件台帳のレイアウト改善に伴い、起票済み令和8年度案件を新レイアウトに移行</t>
    </r>
    <rPh sb="13" eb="15">
      <t>クロカワ</t>
    </rPh>
    <rPh sb="16" eb="19">
      <t>コウロウショウ</t>
    </rPh>
    <rPh sb="21" eb="23">
      <t>カクニン</t>
    </rPh>
    <rPh sb="24" eb="26">
      <t>ケッカ</t>
    </rPh>
    <rPh sb="27" eb="29">
      <t>デンシ</t>
    </rPh>
    <rPh sb="32" eb="36">
      <t>ジョウホウキョウユウ</t>
    </rPh>
    <rPh sb="41" eb="43">
      <t>ヨサン</t>
    </rPh>
    <rPh sb="45" eb="47">
      <t>カイハツ</t>
    </rPh>
    <rPh sb="48" eb="51">
      <t>タイショウガイ</t>
    </rPh>
    <rPh sb="52" eb="54">
      <t>アンケン</t>
    </rPh>
    <rPh sb="58" eb="59">
      <t>ト</t>
    </rPh>
    <rPh sb="60" eb="61">
      <t>サ</t>
    </rPh>
    <rPh sb="81" eb="83">
      <t>ホンダ</t>
    </rPh>
    <rPh sb="89" eb="91">
      <t>カイハツ</t>
    </rPh>
    <rPh sb="91" eb="96">
      <t>カダイケントウカイ</t>
    </rPh>
    <rPh sb="98" eb="100">
      <t>ホウコク</t>
    </rPh>
    <rPh sb="106" eb="108">
      <t>アンケン</t>
    </rPh>
    <rPh sb="112" eb="114">
      <t>カイハツ</t>
    </rPh>
    <rPh sb="121" eb="123">
      <t>イカ</t>
    </rPh>
    <rPh sb="124" eb="126">
      <t>ヨテイ</t>
    </rPh>
    <rPh sb="137" eb="139">
      <t>キボウ</t>
    </rPh>
    <rPh sb="139" eb="141">
      <t>ジキ</t>
    </rPh>
    <rPh sb="143" eb="145">
      <t>レイワ</t>
    </rPh>
    <rPh sb="146" eb="148">
      <t>ネンド</t>
    </rPh>
    <rPh sb="148" eb="150">
      <t>イコウ</t>
    </rPh>
    <rPh sb="152" eb="154">
      <t>コウシン</t>
    </rPh>
    <rPh sb="229" eb="231">
      <t>ホンダ</t>
    </rPh>
    <rPh sb="262" eb="264">
      <t>アンケン</t>
    </rPh>
    <phoneticPr fontId="2"/>
  </si>
  <si>
    <t>機能追加</t>
  </si>
  <si>
    <t>感染症発生届の新規追加
感染症サーベイランスシステムと感染症発生届に関するデータ連携I/Fを新規構築する</t>
    <rPh sb="0" eb="6">
      <t>カンセンショウハッセイトドケ</t>
    </rPh>
    <rPh sb="7" eb="11">
      <t>シンキツイカ</t>
    </rPh>
    <rPh sb="27" eb="33">
      <t>カンセンショウハッセイトドケ</t>
    </rPh>
    <rPh sb="34" eb="35">
      <t>カン</t>
    </rPh>
    <rPh sb="40" eb="42">
      <t>レンケイ</t>
    </rPh>
    <rPh sb="46" eb="50">
      <t>シンキコウチク</t>
    </rPh>
    <phoneticPr fontId="2"/>
  </si>
  <si>
    <t>感染症発生届を閲覧できるようになる</t>
    <rPh sb="0" eb="3">
      <t>カンセンショウ</t>
    </rPh>
    <rPh sb="3" eb="5">
      <t>ハッセイ</t>
    </rPh>
    <rPh sb="5" eb="6">
      <t>トド</t>
    </rPh>
    <rPh sb="7" eb="9">
      <t>エツラン</t>
    </rPh>
    <phoneticPr fontId="2"/>
  </si>
  <si>
    <t>令和9年度以降</t>
    <rPh sb="0" eb="2">
      <t>レイワ</t>
    </rPh>
    <rPh sb="3" eb="5">
      <t>ネンド</t>
    </rPh>
    <rPh sb="5" eb="7">
      <t>イコウ</t>
    </rPh>
    <phoneticPr fontId="2"/>
  </si>
  <si>
    <t>【取り下げ理由】
感染症発生届へのサービス拡大については、電子カルテ情報共有サービスの予算では開発しないこととなったため。</t>
    <rPh sb="1" eb="2">
      <t>ト</t>
    </rPh>
    <rPh sb="3" eb="4">
      <t>サ</t>
    </rPh>
    <rPh sb="5" eb="7">
      <t>リユウ</t>
    </rPh>
    <rPh sb="9" eb="12">
      <t>カンセンショウ</t>
    </rPh>
    <rPh sb="12" eb="14">
      <t>ハッセイ</t>
    </rPh>
    <rPh sb="14" eb="15">
      <t>トドケ</t>
    </rPh>
    <rPh sb="21" eb="23">
      <t>カクダイ</t>
    </rPh>
    <rPh sb="29" eb="31">
      <t>デンシ</t>
    </rPh>
    <rPh sb="34" eb="38">
      <t>ジョウホウキョウユウ</t>
    </rPh>
    <rPh sb="43" eb="45">
      <t>ヨサン</t>
    </rPh>
    <rPh sb="47" eb="49">
      <t>カイハツ</t>
    </rPh>
    <phoneticPr fontId="2"/>
  </si>
  <si>
    <t>電カル共有/オン資</t>
    <rPh sb="0" eb="1">
      <t>デン</t>
    </rPh>
    <rPh sb="3" eb="5">
      <t>キョウユウ</t>
    </rPh>
    <rPh sb="8" eb="9">
      <t>シ</t>
    </rPh>
    <phoneticPr fontId="2"/>
  </si>
  <si>
    <t>※要件は感染症課と調整中。2026年2月末までに提示予定</t>
    <rPh sb="1" eb="3">
      <t>ヨウケン</t>
    </rPh>
    <rPh sb="4" eb="8">
      <t>カンセンショウカ</t>
    </rPh>
    <rPh sb="9" eb="11">
      <t>チョウセイ</t>
    </rPh>
    <rPh sb="11" eb="12">
      <t>チュウ</t>
    </rPh>
    <rPh sb="17" eb="18">
      <t>ネン</t>
    </rPh>
    <rPh sb="19" eb="20">
      <t>ガツ</t>
    </rPh>
    <rPh sb="20" eb="21">
      <t>マツ</t>
    </rPh>
    <rPh sb="24" eb="26">
      <t>テイジ</t>
    </rPh>
    <rPh sb="26" eb="28">
      <t>ヨテイ</t>
    </rPh>
    <phoneticPr fontId="2"/>
  </si>
  <si>
    <t>036</t>
    <phoneticPr fontId="2"/>
  </si>
  <si>
    <t>036_01</t>
    <phoneticPr fontId="2"/>
  </si>
  <si>
    <t>医療ー介護間情報連携機能の追加</t>
    <rPh sb="0" eb="2">
      <t>イリョウ</t>
    </rPh>
    <rPh sb="3" eb="5">
      <t>カイゴ</t>
    </rPh>
    <rPh sb="5" eb="6">
      <t>カン</t>
    </rPh>
    <rPh sb="6" eb="8">
      <t>ジョウホウ</t>
    </rPh>
    <rPh sb="8" eb="10">
      <t>レンケイ</t>
    </rPh>
    <rPh sb="10" eb="12">
      <t>キノウ</t>
    </rPh>
    <rPh sb="13" eb="15">
      <t>ツイカ</t>
    </rPh>
    <phoneticPr fontId="2"/>
  </si>
  <si>
    <t>2025/10/29 ACN木村
令和8年度案件台帳のレイアウト改善に伴い、起票済み令和8年度案件を新レイアウトに移行</t>
    <rPh sb="14" eb="16">
      <t>キムラ</t>
    </rPh>
    <rPh sb="17" eb="19">
      <t>レイワ</t>
    </rPh>
    <rPh sb="20" eb="22">
      <t>ネンド</t>
    </rPh>
    <rPh sb="22" eb="26">
      <t>アンケンダイチョウ</t>
    </rPh>
    <rPh sb="32" eb="34">
      <t>カイゼン</t>
    </rPh>
    <rPh sb="35" eb="36">
      <t>トモナ</t>
    </rPh>
    <rPh sb="38" eb="41">
      <t>キヒョウズ</t>
    </rPh>
    <rPh sb="42" eb="44">
      <t>レイワ</t>
    </rPh>
    <rPh sb="45" eb="47">
      <t>ネンド</t>
    </rPh>
    <rPh sb="47" eb="49">
      <t>アンケン</t>
    </rPh>
    <rPh sb="50" eb="51">
      <t>シン</t>
    </rPh>
    <rPh sb="57" eb="59">
      <t>イコウ</t>
    </rPh>
    <phoneticPr fontId="2"/>
  </si>
  <si>
    <t>介護情報の新規追加
医療・介護情報を医療機関と介護事業所間でデータ連携するための基盤を新規構築する</t>
    <rPh sb="0" eb="4">
      <t>カイゴジョウホウ</t>
    </rPh>
    <rPh sb="5" eb="9">
      <t>シンキツイカ</t>
    </rPh>
    <rPh sb="10" eb="12">
      <t>イリョウ</t>
    </rPh>
    <rPh sb="13" eb="17">
      <t>カイゴジョウホウ</t>
    </rPh>
    <rPh sb="18" eb="22">
      <t>イリョウキカン</t>
    </rPh>
    <rPh sb="23" eb="28">
      <t>カイゴジギョウショ</t>
    </rPh>
    <rPh sb="28" eb="29">
      <t>カン</t>
    </rPh>
    <rPh sb="33" eb="35">
      <t>レンケイ</t>
    </rPh>
    <rPh sb="40" eb="42">
      <t>キバン</t>
    </rPh>
    <rPh sb="43" eb="47">
      <t>シンキコウチク</t>
    </rPh>
    <phoneticPr fontId="2"/>
  </si>
  <si>
    <t>令和8年度</t>
    <rPh sb="0" eb="2">
      <t>レイワ</t>
    </rPh>
    <rPh sb="3" eb="4">
      <t>ネン</t>
    </rPh>
    <rPh sb="4" eb="5">
      <t>ド</t>
    </rPh>
    <phoneticPr fontId="2"/>
  </si>
  <si>
    <t>診療情報提供書の介護事業所送付機能</t>
    <phoneticPr fontId="2"/>
  </si>
  <si>
    <t>※仮整理であり、詳細は老健局と調整中。
■要求事項①
・機能：文書種別識別
・内容：医科向けの診療情報提供書か介護向けの診療情報提供書をCompositionのデータ要素から識別する
■要求事項②
・機能：宛先施設確認
・内容：電カル共有では宛先として、一つの文書に対して１か所にしか送付できない仕様のままとする。
■要求事項③
・機能：JSON➡CSV変換・保存機能
・内容：FHIRで記述されたJSON形式データをCSV形式に変換してDBに保存する
■要求事項④
・機能：診療情報提供書送付機能
・内容：介護情報基盤経由で介護保険資格確認等Webサービスに診療情報提供書を送付する際は以下の２ファイルの形式とする。
①FHIRデータをCSV変換してbase64エンコードしたXML形式の文書情報ファイル
②PDFデータ、PNGデータ、JPEGデータ、TIFFデータをbase64エンコードしたXML形式の添付情報ファイル
■要求事項⑤
・機能：診療情報提供書自動削除機能
・内容：既存運用と同様に、介護保険資格確認等Webサービスデータで文書・添付情報が取得されたタイミングから1週間程度で電子カルテ情報共有サービス側のDBから診療情報提供書を削除する。
■備考
・口頭同意だけとする。(閲覧保留は許容しない)
・今の診療情報提供書のIG・プロファイルに様式12-4、様式13特有の要素をCompositionのセクションに追加する。(新規のプロファイルは作らない)</t>
    <rPh sb="1" eb="2">
      <t>カリ</t>
    </rPh>
    <rPh sb="2" eb="4">
      <t>セイリ</t>
    </rPh>
    <rPh sb="8" eb="10">
      <t>ショウサイ</t>
    </rPh>
    <rPh sb="11" eb="14">
      <t>ロウケンキョク</t>
    </rPh>
    <rPh sb="15" eb="17">
      <t>チョウセイ</t>
    </rPh>
    <rPh sb="17" eb="18">
      <t>チュウ</t>
    </rPh>
    <rPh sb="28" eb="30">
      <t>キノウ</t>
    </rPh>
    <rPh sb="31" eb="33">
      <t>ブンショ</t>
    </rPh>
    <rPh sb="33" eb="35">
      <t>シュベツ</t>
    </rPh>
    <rPh sb="35" eb="37">
      <t>シキベツ</t>
    </rPh>
    <rPh sb="39" eb="41">
      <t>ナイヨウ</t>
    </rPh>
    <rPh sb="100" eb="102">
      <t>キノウ</t>
    </rPh>
    <rPh sb="103" eb="105">
      <t>アテサキ</t>
    </rPh>
    <rPh sb="105" eb="107">
      <t>シセツ</t>
    </rPh>
    <rPh sb="107" eb="109">
      <t>カクニン</t>
    </rPh>
    <rPh sb="111" eb="113">
      <t>ナイヨウ</t>
    </rPh>
    <rPh sb="159" eb="161">
      <t>ヨウキュウ</t>
    </rPh>
    <rPh sb="161" eb="163">
      <t>ジコウ</t>
    </rPh>
    <rPh sb="166" eb="168">
      <t>キノウ</t>
    </rPh>
    <rPh sb="180" eb="182">
      <t>ホゾン</t>
    </rPh>
    <rPh sb="182" eb="184">
      <t>キノウ</t>
    </rPh>
    <rPh sb="186" eb="188">
      <t>ナイヨウ</t>
    </rPh>
    <rPh sb="228" eb="230">
      <t>ヨウキュウ</t>
    </rPh>
    <rPh sb="230" eb="232">
      <t>ジコウ</t>
    </rPh>
    <rPh sb="235" eb="237">
      <t>キノウ</t>
    </rPh>
    <rPh sb="238" eb="245">
      <t>シンリョウジョウホウテイキョウショ</t>
    </rPh>
    <rPh sb="245" eb="247">
      <t>ソウフ</t>
    </rPh>
    <rPh sb="247" eb="249">
      <t>キノウ</t>
    </rPh>
    <rPh sb="251" eb="253">
      <t>ナイヨウ</t>
    </rPh>
    <rPh sb="280" eb="287">
      <t>シンリョウジョウホウテイキョウショ</t>
    </rPh>
    <rPh sb="288" eb="290">
      <t>ソウフ</t>
    </rPh>
    <rPh sb="292" eb="293">
      <t>サイ</t>
    </rPh>
    <rPh sb="303" eb="305">
      <t>ケイシキ</t>
    </rPh>
    <rPh sb="414" eb="416">
      <t>ヨウキュウ</t>
    </rPh>
    <rPh sb="420" eb="422">
      <t>キノウ</t>
    </rPh>
    <rPh sb="423" eb="430">
      <t>シンリョウジョウホウテイキョウショ</t>
    </rPh>
    <rPh sb="430" eb="432">
      <t>ジドウ</t>
    </rPh>
    <rPh sb="432" eb="434">
      <t>サクジョ</t>
    </rPh>
    <rPh sb="434" eb="436">
      <t>キノウ</t>
    </rPh>
    <rPh sb="438" eb="440">
      <t>ナイヨウ</t>
    </rPh>
    <rPh sb="531" eb="533">
      <t>ビコウ</t>
    </rPh>
    <phoneticPr fontId="2"/>
  </si>
  <si>
    <t>036_02</t>
    <phoneticPr fontId="2"/>
  </si>
  <si>
    <t>※仮整理であり、詳細は老健局と調整中。
■要求事項①
・機能：資格確認機能
・内容：診療情報提供書に介護被保険者番号の記述は不要とし、(介護基盤側でPMHキーを紐づけて)資格の有効性確認を行う。
■要求事項②
・機能：医療機関マスタと介護事業所マスタの同期機能
・内容：マスタ同期かAPI取得で実装し、宛先施設確認用のマスタを作成
■備考
・口頭同意だけとする。(閲覧保留は許容しない)
・今の診療情報提供書のIG・プロファイルに様式12-4、様式13特有の要素をCompositionのセクションに追加する。(新規のプロファイルは作らない)</t>
  </si>
  <si>
    <t>036_03</t>
    <phoneticPr fontId="2"/>
  </si>
  <si>
    <t>2026/09/08 支払基金宮脇
調達のために、新規に付番（施設利用状況照会機能記載）</t>
    <rPh sb="11" eb="15">
      <t>シハライキキン</t>
    </rPh>
    <rPh sb="15" eb="17">
      <t>ミヤワキ</t>
    </rPh>
    <rPh sb="18" eb="20">
      <t>チョウタツ</t>
    </rPh>
    <rPh sb="25" eb="27">
      <t>シンキ</t>
    </rPh>
    <rPh sb="28" eb="30">
      <t>フバン</t>
    </rPh>
    <rPh sb="41" eb="43">
      <t>キサイ</t>
    </rPh>
    <phoneticPr fontId="2"/>
  </si>
  <si>
    <t>基金内部検知/要望</t>
    <rPh sb="0" eb="2">
      <t>キキン</t>
    </rPh>
    <rPh sb="2" eb="4">
      <t>ナイブ</t>
    </rPh>
    <rPh sb="4" eb="6">
      <t>ケンチ</t>
    </rPh>
    <rPh sb="7" eb="9">
      <t>ヨウボウ</t>
    </rPh>
    <phoneticPr fontId="2"/>
  </si>
  <si>
    <t>基金</t>
    <rPh sb="0" eb="2">
      <t>キキン</t>
    </rPh>
    <phoneticPr fontId="2"/>
  </si>
  <si>
    <t>宮脇</t>
    <phoneticPr fontId="2"/>
  </si>
  <si>
    <t>施設利用状況照会機能</t>
    <phoneticPr fontId="2"/>
  </si>
  <si>
    <t>・介護事業所マスタを検索対象とした施設利用状況照会機能を作成する。
・DynamoDBのパーティションキーを指定したクエリ検索では部分一致での検索ができずパフォーマンスがでないため、検索機能について新規処理方式を検討する。
・新規処理方式となるためSWFWの整備を見込む。
・検索対象マスタデータをマスタ取込みと同期して最新化する機能を作成する。
・事業所名、事業所　住所・・・については、部分一致での検索条件の指定を可能とする。
・事業所コード、・・・については、完全一致での検索条件の指定を可能とする。
・事業所コード、サービス種類コードをキーとした介護事業所マスタから検索結果として100件以上がヒットする場合、レスポンス上限は100件としてワーニングメッセージとともに返却する。</t>
    <phoneticPr fontId="2"/>
  </si>
  <si>
    <t>037</t>
  </si>
  <si>
    <t>037_01</t>
  </si>
  <si>
    <t>服薬状況等のフィードバック情報の連携機能の追加</t>
    <phoneticPr fontId="2"/>
  </si>
  <si>
    <t>服薬状況等のフィードバック情報の新規追加
服薬状況等のフィードバック情報を薬局から医療機関にデータ連携するための基盤を新規構築する
薬局への対応（登録対象施設拡大）</t>
    <rPh sb="16" eb="18">
      <t>シンキ</t>
    </rPh>
    <rPh sb="18" eb="20">
      <t>ツイカ</t>
    </rPh>
    <rPh sb="34" eb="36">
      <t>ジョウホウ</t>
    </rPh>
    <rPh sb="37" eb="39">
      <t>ヤッキョク</t>
    </rPh>
    <rPh sb="41" eb="45">
      <t>イリョウキカン</t>
    </rPh>
    <rPh sb="49" eb="51">
      <t>レンケイ</t>
    </rPh>
    <rPh sb="56" eb="58">
      <t>キバン</t>
    </rPh>
    <rPh sb="59" eb="63">
      <t>シンキコウチク</t>
    </rPh>
    <rPh sb="66" eb="68">
      <t>ヤッキョク</t>
    </rPh>
    <rPh sb="70" eb="72">
      <t>タイオウ</t>
    </rPh>
    <rPh sb="73" eb="75">
      <t>トウロク</t>
    </rPh>
    <rPh sb="75" eb="81">
      <t>タイショウシセツカクダイ</t>
    </rPh>
    <phoneticPr fontId="2"/>
  </si>
  <si>
    <t>038</t>
  </si>
  <si>
    <t>038_01</t>
  </si>
  <si>
    <t>看護情報(訪問看護指示書等)の連携機能の追加</t>
  </si>
  <si>
    <t>看護情報(訪問看護指示書等)の新規追加
訪問看護ステーションへの対応（登録・閲覧対象施設拡大）</t>
    <rPh sb="0" eb="4">
      <t>カンゴジョウホウ</t>
    </rPh>
    <rPh sb="5" eb="12">
      <t>ホウモンカンゴシジショ</t>
    </rPh>
    <rPh sb="12" eb="13">
      <t>ナド</t>
    </rPh>
    <rPh sb="25" eb="27">
      <t>シンキ</t>
    </rPh>
    <rPh sb="27" eb="29">
      <t>ツイカ</t>
    </rPh>
    <rPh sb="30" eb="34">
      <t>ホウモンカンゴ</t>
    </rPh>
    <rPh sb="38" eb="40">
      <t>エツランタイオウ</t>
    </rPh>
    <phoneticPr fontId="2"/>
  </si>
  <si>
    <t>039</t>
  </si>
  <si>
    <t>039_01</t>
  </si>
  <si>
    <t>歯科情報(歯科用診療情報提供書等)の連携機能の追加</t>
  </si>
  <si>
    <r>
      <rPr>
        <sz val="11"/>
        <color rgb="FFFF0000"/>
        <rFont val="Meiryo UI"/>
        <family val="3"/>
        <charset val="128"/>
      </rPr>
      <t>2026/9/25 ACN黒川
厚労省にて確認の結果、歯科の用途拡大は、診療情報提供書・歯式・臨床情報登録・患者サマリーで改修タイミングが異なるため、本案件は取り下げのうえ、別途案件起票することとする。</t>
    </r>
    <r>
      <rPr>
        <sz val="11"/>
        <color theme="1"/>
        <rFont val="Meiryo UI"/>
        <family val="3"/>
        <charset val="128"/>
      </rPr>
      <t xml:space="preserve">
2025/11/25 ACN 本田
令和8年度案件台帳のレイアウト改善に伴い、起票済み令和8年度以降案件を新レイアウトに移行</t>
    </r>
    <rPh sb="21" eb="23">
      <t>カクニン</t>
    </rPh>
    <rPh sb="69" eb="70">
      <t>コト</t>
    </rPh>
    <rPh sb="75" eb="76">
      <t>ホン</t>
    </rPh>
    <rPh sb="76" eb="78">
      <t>アンケン</t>
    </rPh>
    <rPh sb="79" eb="80">
      <t>ト</t>
    </rPh>
    <rPh sb="81" eb="82">
      <t>サ</t>
    </rPh>
    <rPh sb="118" eb="120">
      <t>ホンダ</t>
    </rPh>
    <rPh sb="151" eb="153">
      <t>イコウ</t>
    </rPh>
    <phoneticPr fontId="2"/>
  </si>
  <si>
    <t>歯科情報(歯科用診療情報提供書等)の新規追加
歯科医療機関への対応（登録対象施設拡大）</t>
    <rPh sb="0" eb="4">
      <t>シカジョウホウ</t>
    </rPh>
    <rPh sb="5" eb="8">
      <t>シカヨウ</t>
    </rPh>
    <rPh sb="8" eb="15">
      <t>シンリョウジョウホウテイキョウショ</t>
    </rPh>
    <rPh sb="15" eb="16">
      <t>ナド</t>
    </rPh>
    <rPh sb="18" eb="22">
      <t>シンキツイカ</t>
    </rPh>
    <rPh sb="23" eb="25">
      <t>シカ</t>
    </rPh>
    <rPh sb="25" eb="27">
      <t>イリョウ</t>
    </rPh>
    <rPh sb="27" eb="29">
      <t>キカン</t>
    </rPh>
    <rPh sb="31" eb="33">
      <t>タイオウ</t>
    </rPh>
    <phoneticPr fontId="2"/>
  </si>
  <si>
    <t>【取り下げ理由】
診療情報提供書・歯式・臨床情報登録・患者サマリーで改修タイミングが異なるため、本案件は取り下げのうえ、別途案件起票することとする。</t>
    <rPh sb="1" eb="2">
      <t>ト</t>
    </rPh>
    <rPh sb="3" eb="4">
      <t>サ</t>
    </rPh>
    <rPh sb="5" eb="7">
      <t>リユウ</t>
    </rPh>
    <phoneticPr fontId="2"/>
  </si>
  <si>
    <t>040</t>
  </si>
  <si>
    <t>040_01</t>
  </si>
  <si>
    <t>蘇生処置(DNR/ACP)情報の連携機能の追加</t>
    <rPh sb="13" eb="15">
      <t>ジョウホウ</t>
    </rPh>
    <phoneticPr fontId="2"/>
  </si>
  <si>
    <t>蘇生処置(DNR/ACP)の新規追加</t>
    <rPh sb="0" eb="2">
      <t>ソセイ</t>
    </rPh>
    <rPh sb="2" eb="4">
      <t>ショチ</t>
    </rPh>
    <rPh sb="14" eb="18">
      <t>シンキツイカ</t>
    </rPh>
    <phoneticPr fontId="2"/>
  </si>
  <si>
    <t>041</t>
  </si>
  <si>
    <t>041_01</t>
  </si>
  <si>
    <t>透析の連携機能の追加</t>
    <rPh sb="0" eb="2">
      <t>トウセキ</t>
    </rPh>
    <phoneticPr fontId="2"/>
  </si>
  <si>
    <t>透析情報の新規追加</t>
    <rPh sb="0" eb="2">
      <t>トウセキ</t>
    </rPh>
    <rPh sb="2" eb="4">
      <t>ジョウホウ</t>
    </rPh>
    <rPh sb="5" eb="9">
      <t>シンキツイカ</t>
    </rPh>
    <phoneticPr fontId="2"/>
  </si>
  <si>
    <t>044</t>
    <phoneticPr fontId="2"/>
  </si>
  <si>
    <t>044_01</t>
    <phoneticPr fontId="2"/>
  </si>
  <si>
    <t>マイナポ連携</t>
    <rPh sb="4" eb="6">
      <t>レンケイ</t>
    </rPh>
    <phoneticPr fontId="2"/>
  </si>
  <si>
    <t>マイナポータルから事前同意設定するための二次元コードコード発行機能</t>
    <phoneticPr fontId="2"/>
  </si>
  <si>
    <r>
      <rPr>
        <sz val="11"/>
        <color rgb="FFFF0000"/>
        <rFont val="Meiryo UI"/>
        <family val="3"/>
        <charset val="128"/>
      </rPr>
      <t xml:space="preserve">2026/9/25 ACN黒川
現時点でモデルベンダからのニーズはないため、厚労省での検討の結果、取り下げとする。
</t>
    </r>
    <r>
      <rPr>
        <sz val="11"/>
        <color theme="1"/>
        <rFont val="Meiryo UI"/>
        <family val="3"/>
        <charset val="128"/>
      </rPr>
      <t xml:space="preserve">
2025/11/25 ACN 本田
厚労省と確認し、本案件は令和9年度以降のリリースになるため、リリース希望時期を更新。
■リリース希望時期
　令和8年度→令和9年度以降
2025/10/29 ACN木村
令和8年度案件台帳のレイアウト改善に伴い、起票済み令和8年度案件を新レイアウトに移行</t>
    </r>
    <rPh sb="38" eb="40">
      <t>コウロウ</t>
    </rPh>
    <rPh sb="40" eb="41">
      <t>ショウ</t>
    </rPh>
    <rPh sb="43" eb="45">
      <t>ケントウ</t>
    </rPh>
    <rPh sb="46" eb="48">
      <t>ケッカ</t>
    </rPh>
    <rPh sb="74" eb="76">
      <t>ホンダ</t>
    </rPh>
    <rPh sb="77" eb="80">
      <t>コウロウショウ</t>
    </rPh>
    <rPh sb="81" eb="83">
      <t>カクニン</t>
    </rPh>
    <rPh sb="85" eb="86">
      <t>ホン</t>
    </rPh>
    <rPh sb="86" eb="88">
      <t>アンケン</t>
    </rPh>
    <rPh sb="111" eb="113">
      <t>キボウ</t>
    </rPh>
    <rPh sb="113" eb="115">
      <t>ジキ</t>
    </rPh>
    <rPh sb="116" eb="118">
      <t>コウシン</t>
    </rPh>
    <rPh sb="125" eb="127">
      <t>キボウ</t>
    </rPh>
    <rPh sb="127" eb="129">
      <t>ジキ</t>
    </rPh>
    <rPh sb="131" eb="133">
      <t>レイワ</t>
    </rPh>
    <rPh sb="134" eb="136">
      <t>ネンド</t>
    </rPh>
    <rPh sb="137" eb="139">
      <t>レイワ</t>
    </rPh>
    <rPh sb="140" eb="142">
      <t>ネンド</t>
    </rPh>
    <rPh sb="142" eb="144">
      <t>イコウ</t>
    </rPh>
    <rPh sb="145" eb="147">
      <t>レイワ</t>
    </rPh>
    <rPh sb="148" eb="149">
      <t>ネン</t>
    </rPh>
    <rPh sb="149" eb="150">
      <t>ド</t>
    </rPh>
    <rPh sb="151" eb="153">
      <t>レイワ</t>
    </rPh>
    <rPh sb="169" eb="171">
      <t>キムラ</t>
    </rPh>
    <rPh sb="172" eb="174">
      <t>レイワ</t>
    </rPh>
    <rPh sb="175" eb="177">
      <t>ネンド</t>
    </rPh>
    <rPh sb="177" eb="181">
      <t>アンケンダイチョウ</t>
    </rPh>
    <rPh sb="187" eb="189">
      <t>カイゼン</t>
    </rPh>
    <rPh sb="190" eb="191">
      <t>トモナ</t>
    </rPh>
    <rPh sb="193" eb="196">
      <t>キヒョウズ</t>
    </rPh>
    <rPh sb="197" eb="199">
      <t>レイワ</t>
    </rPh>
    <rPh sb="200" eb="202">
      <t>ネンド</t>
    </rPh>
    <rPh sb="202" eb="204">
      <t>アンケンシンイコウ</t>
    </rPh>
    <phoneticPr fontId="2"/>
  </si>
  <si>
    <t>マイナポータルから事前同意設定するための二次元コードコード発行機能を新規実装する</t>
    <rPh sb="34" eb="36">
      <t>シンキ</t>
    </rPh>
    <phoneticPr fontId="2"/>
  </si>
  <si>
    <t>■起票背景
令和6年度の開発にて、受付での顔CRの操作負荷の軽減を目的として、マイナポータルにて患者が医療機関に対し、各医療情報に対する事前同意を行える機能を実装した。また、それに付随して、事前同意する医療機関をキーワード検索する手間を省略するため、医療機関ごとの二次元コードを読み込む機能をマイナポータル側で実装した。
一方、その二次元コードを生成・出力する機能については現在、支払基金側で実装できていない。
■目的
マイナポータルの事前同意設定機能を利便性高く患者に利用してもらえるようにする</t>
    <rPh sb="21" eb="22">
      <t>カオ</t>
    </rPh>
    <phoneticPr fontId="2"/>
  </si>
  <si>
    <t>マイナポータルの事前同意設定機能を利便性高く患者に利用してもらえる</t>
    <phoneticPr fontId="2"/>
  </si>
  <si>
    <t>デジタル庁：実装時期調整中</t>
    <phoneticPr fontId="2"/>
  </si>
  <si>
    <t>MUST</t>
    <phoneticPr fontId="2"/>
  </si>
  <si>
    <r>
      <rPr>
        <sz val="11"/>
        <color rgb="FFFF0000"/>
        <rFont val="Meiryo UI"/>
        <family val="3"/>
        <charset val="128"/>
      </rPr>
      <t xml:space="preserve">【取り下げ理由】
対応方針の検討はオン資側の対応の中で厚労省-デジ庁間で検討していくため、現時点において電カル共有の案件としては取り下げ
</t>
    </r>
    <r>
      <rPr>
        <sz val="11"/>
        <color theme="1"/>
        <rFont val="Meiryo UI"/>
        <family val="3"/>
        <charset val="128"/>
      </rPr>
      <t xml:space="preserve">
リリース時期変更理由：事前同意のユースケースを検討するため(7/9デジタル庁・基金・厚労省の打ち合わせ)
2025/6/11
12月リリース案件と同様に開発は進める予定。なお、テストはデジタル庁と要調整。</t>
    </r>
    <rPh sb="1" eb="2">
      <t>ト</t>
    </rPh>
    <rPh sb="3" eb="4">
      <t>サ</t>
    </rPh>
    <rPh sb="5" eb="7">
      <t>リユウ</t>
    </rPh>
    <rPh sb="9" eb="11">
      <t>タイオウ</t>
    </rPh>
    <rPh sb="11" eb="13">
      <t>ホウシン</t>
    </rPh>
    <rPh sb="14" eb="16">
      <t>ケントウ</t>
    </rPh>
    <rPh sb="19" eb="20">
      <t>シ</t>
    </rPh>
    <rPh sb="20" eb="21">
      <t>ガワ</t>
    </rPh>
    <rPh sb="22" eb="24">
      <t>タイオウ</t>
    </rPh>
    <rPh sb="25" eb="26">
      <t>ナカ</t>
    </rPh>
    <rPh sb="27" eb="30">
      <t>コウロウショウ</t>
    </rPh>
    <rPh sb="33" eb="34">
      <t>チョウ</t>
    </rPh>
    <rPh sb="34" eb="35">
      <t>カン</t>
    </rPh>
    <rPh sb="36" eb="38">
      <t>ケントウ</t>
    </rPh>
    <rPh sb="45" eb="48">
      <t>ゲンジテン</t>
    </rPh>
    <rPh sb="52" eb="53">
      <t>デン</t>
    </rPh>
    <rPh sb="55" eb="57">
      <t>キョウユウ</t>
    </rPh>
    <rPh sb="58" eb="60">
      <t>アンケン</t>
    </rPh>
    <rPh sb="64" eb="65">
      <t>ト</t>
    </rPh>
    <rPh sb="66" eb="67">
      <t>サ</t>
    </rPh>
    <rPh sb="74" eb="76">
      <t>ジキ</t>
    </rPh>
    <rPh sb="76" eb="78">
      <t>ヘンコウ</t>
    </rPh>
    <rPh sb="78" eb="80">
      <t>リユウ</t>
    </rPh>
    <rPh sb="81" eb="83">
      <t>ジゼン</t>
    </rPh>
    <rPh sb="83" eb="85">
      <t>ドウイ</t>
    </rPh>
    <rPh sb="93" eb="95">
      <t>ケントウ</t>
    </rPh>
    <rPh sb="107" eb="108">
      <t>チョウ</t>
    </rPh>
    <rPh sb="109" eb="111">
      <t>キキン</t>
    </rPh>
    <rPh sb="112" eb="115">
      <t>コウロウショウ</t>
    </rPh>
    <rPh sb="116" eb="117">
      <t>ウ</t>
    </rPh>
    <rPh sb="118" eb="119">
      <t>ア</t>
    </rPh>
    <rPh sb="136" eb="137">
      <t>ガツ</t>
    </rPh>
    <rPh sb="141" eb="143">
      <t>アンケン</t>
    </rPh>
    <rPh sb="144" eb="146">
      <t>ドウヨウ</t>
    </rPh>
    <rPh sb="147" eb="149">
      <t>カイハツ</t>
    </rPh>
    <rPh sb="150" eb="151">
      <t>スス</t>
    </rPh>
    <rPh sb="153" eb="155">
      <t>ヨテイ</t>
    </rPh>
    <rPh sb="167" eb="168">
      <t>チョウ</t>
    </rPh>
    <rPh sb="169" eb="170">
      <t>ヨウ</t>
    </rPh>
    <rPh sb="170" eb="172">
      <t>チョウセイ</t>
    </rPh>
    <phoneticPr fontId="2"/>
  </si>
  <si>
    <t>3文書6情報の閲覧(マイナータルでの事前同意)</t>
    <rPh sb="1" eb="3">
      <t>ブンショ</t>
    </rPh>
    <rPh sb="4" eb="6">
      <t>ジョウホウ</t>
    </rPh>
    <rPh sb="7" eb="9">
      <t>エツラン</t>
    </rPh>
    <rPh sb="18" eb="20">
      <t>ジゼン</t>
    </rPh>
    <rPh sb="20" eb="22">
      <t>ドウイ</t>
    </rPh>
    <phoneticPr fontId="2"/>
  </si>
  <si>
    <t>総合ポータル/オン資</t>
    <rPh sb="0" eb="2">
      <t>ソウゴウ</t>
    </rPh>
    <rPh sb="9" eb="10">
      <t>シ</t>
    </rPh>
    <phoneticPr fontId="2"/>
  </si>
  <si>
    <t>■要求事項１
・機能：二次元コードコード生成機能
・内容：マイナポータルから患者が医療機関に対して事前同意を設定するためのURLに遷移する医療機関毎の二次元コードを生成する。
■備考
二次元コードコードの取得先を医療機関等向け総合ポータルサイト(又は資格確認端末)のWeb画面とするか、医療機関等ポータルサイト(ログイン後)画面にするかは、要検討。</t>
    <rPh sb="107" eb="113">
      <t>イリョウキカントウム</t>
    </rPh>
    <rPh sb="114" eb="116">
      <t>ソウゴウ</t>
    </rPh>
    <phoneticPr fontId="2"/>
  </si>
  <si>
    <t>※基金様にて精査下さい。</t>
    <rPh sb="1" eb="4">
      <t>キキンサマ</t>
    </rPh>
    <rPh sb="6" eb="8">
      <t>セイサ</t>
    </rPh>
    <rPh sb="8" eb="9">
      <t>クダ</t>
    </rPh>
    <phoneticPr fontId="2"/>
  </si>
  <si>
    <t>044_02</t>
    <phoneticPr fontId="2"/>
  </si>
  <si>
    <t>マイナポータルから事前同意設定するための二次元コードコード発行機能</t>
  </si>
  <si>
    <r>
      <rPr>
        <sz val="11"/>
        <color rgb="FFFF0000"/>
        <rFont val="Meiryo UI"/>
        <family val="3"/>
        <charset val="128"/>
      </rPr>
      <t>2026/9/25 ACN黒川
対応方針の検討はオン資側の対応の中で厚労省-デジ庁間で検討していくため、厚労省での検討の結果、取り下げとする。</t>
    </r>
    <r>
      <rPr>
        <sz val="11"/>
        <color theme="1"/>
        <rFont val="Meiryo UI"/>
        <family val="3"/>
        <charset val="128"/>
      </rPr>
      <t xml:space="preserve">
2025/11/25 ACN 本田
厚労省と確認し、本案件は令和9年度以降のリリースになるため、リリース希望時期を更新。
■リリース希望時期
　令和8年度→令和9年度以降
2025/10/29 ACN木村
令和8年度案件台帳のレイアウト改善に伴い、起票済み令和8年度案件を新レイアウトに移行</t>
    </r>
    <rPh sb="88" eb="90">
      <t>ホンダ</t>
    </rPh>
    <rPh sb="91" eb="94">
      <t>コウロウショウ</t>
    </rPh>
    <rPh sb="95" eb="97">
      <t>カクニン</t>
    </rPh>
    <rPh sb="99" eb="100">
      <t>ホン</t>
    </rPh>
    <rPh sb="100" eb="102">
      <t>アンケン</t>
    </rPh>
    <rPh sb="125" eb="127">
      <t>キボウ</t>
    </rPh>
    <rPh sb="127" eb="129">
      <t>ジキ</t>
    </rPh>
    <rPh sb="130" eb="132">
      <t>コウシン</t>
    </rPh>
    <rPh sb="139" eb="141">
      <t>キボウ</t>
    </rPh>
    <rPh sb="141" eb="143">
      <t>ジキ</t>
    </rPh>
    <rPh sb="145" eb="147">
      <t>レイワ</t>
    </rPh>
    <rPh sb="148" eb="150">
      <t>ネンド</t>
    </rPh>
    <rPh sb="151" eb="153">
      <t>レイワ</t>
    </rPh>
    <rPh sb="154" eb="156">
      <t>ネンド</t>
    </rPh>
    <rPh sb="156" eb="158">
      <t>イコウ</t>
    </rPh>
    <rPh sb="159" eb="161">
      <t>レイワ</t>
    </rPh>
    <rPh sb="162" eb="163">
      <t>ネン</t>
    </rPh>
    <rPh sb="163" eb="164">
      <t>ド</t>
    </rPh>
    <rPh sb="165" eb="167">
      <t>レイワ</t>
    </rPh>
    <rPh sb="183" eb="185">
      <t>キムラ</t>
    </rPh>
    <rPh sb="186" eb="188">
      <t>レイワ</t>
    </rPh>
    <rPh sb="189" eb="191">
      <t>ネンド</t>
    </rPh>
    <rPh sb="191" eb="195">
      <t>アンケンダイチョウ</t>
    </rPh>
    <rPh sb="201" eb="203">
      <t>カイゼン</t>
    </rPh>
    <rPh sb="204" eb="205">
      <t>トモナ</t>
    </rPh>
    <rPh sb="207" eb="210">
      <t>キヒョウズ</t>
    </rPh>
    <rPh sb="211" eb="213">
      <t>レイワ</t>
    </rPh>
    <rPh sb="214" eb="216">
      <t>ネンド</t>
    </rPh>
    <rPh sb="216" eb="218">
      <t>アンケンシンイコウ</t>
    </rPh>
    <phoneticPr fontId="2"/>
  </si>
  <si>
    <t>【取り下げ理由】
対応方針の検討はオン資側の対応の中で厚労省-デジ庁間で検討していくため、現時点において電カル共有の案件としては取り下げ</t>
    <phoneticPr fontId="2"/>
  </si>
  <si>
    <t>■要求事項２
・機能：医療機関等総合ポータルサイト画面又は資格確認端末
・内容：生成した、マイナポータルから患者が医療機関に対して事前同意を設定するためのURLに遷移する医療機関毎の二次元コードを画面表示する。二次元バーコードを画像(jpegもしくはpng)として端末にダウンロードできるようにする。
■備考
二次元コードコードの取得先を医療機関等向け総合ポータルサイト(又は資格確認端末)のWeb画面とするか、医療機関等ポータルサイト(ログイン後)画面にするかは、要検討。</t>
    <rPh sb="27" eb="28">
      <t>マタ</t>
    </rPh>
    <rPh sb="29" eb="35">
      <t>シカクカクニンタンマツ</t>
    </rPh>
    <rPh sb="170" eb="176">
      <t>イリョウキカントウム</t>
    </rPh>
    <rPh sb="177" eb="179">
      <t>ソウゴウ</t>
    </rPh>
    <phoneticPr fontId="2"/>
  </si>
  <si>
    <t>045</t>
  </si>
  <si>
    <t>045_01</t>
  </si>
  <si>
    <t xml:space="preserve">連携アプリケーション（Linux対応バージョン）の開発 </t>
  </si>
  <si>
    <r>
      <rPr>
        <sz val="11"/>
        <color rgb="FFFF0000"/>
        <rFont val="Meiryo UI"/>
        <family val="3"/>
        <charset val="128"/>
      </rPr>
      <t>2026/9/25 ACN黒川
現時点でモデルベンダからのニーズはないため、厚労省での検討の結果、取り下げとする。</t>
    </r>
    <r>
      <rPr>
        <sz val="11"/>
        <color theme="1"/>
        <rFont val="Meiryo UI"/>
        <family val="3"/>
        <charset val="128"/>
      </rPr>
      <t xml:space="preserve">
2025/11/25 ACN 本田
令和8年度案件台帳のレイアウト改善に伴い、起票済み令和8年度以降案件を新レイアウトに移行</t>
    </r>
    <rPh sb="74" eb="76">
      <t>ホンダ</t>
    </rPh>
    <rPh sb="107" eb="109">
      <t>イコウ</t>
    </rPh>
    <phoneticPr fontId="2"/>
  </si>
  <si>
    <t>【取り下げ理由】
Linux対応について、現時点においてシステムベンダから要望を受領していないため</t>
    <rPh sb="14" eb="16">
      <t>タイオウ</t>
    </rPh>
    <rPh sb="21" eb="24">
      <t>ゲンジテン</t>
    </rPh>
    <rPh sb="37" eb="39">
      <t>ヨウボウ</t>
    </rPh>
    <rPh sb="40" eb="42">
      <t>ジュリョウ</t>
    </rPh>
    <phoneticPr fontId="2"/>
  </si>
  <si>
    <t>047</t>
  </si>
  <si>
    <t>047_01</t>
  </si>
  <si>
    <t>クラウド型電子カルテと電子カルテ情報共有サービスのクラウド間連携用の認証基盤、APIゲートウェイ等を新規構築</t>
    <phoneticPr fontId="2"/>
  </si>
  <si>
    <t>2026/8/10 ACN黒川
(リリース希望時期綺麗化作業)リリース希望時期を「令和8年度」から「取り下げ」に変更。
2026/2/23 ACN本田
クラウド間連携は、厚労省の別チームにて、予算を立てて管理しているため、電子カルテ情報共有サービスとは切り離して案件管理するため、実装判断ステータスを「取り下げ」に更新
2025/11/25 ACN 本田
令和8年度案件台帳のレイアウト改善に伴い、起票済み令和8年度案件を新レイアウトに移行</t>
    <rPh sb="41" eb="43">
      <t>レイワ</t>
    </rPh>
    <rPh sb="44" eb="46">
      <t>ネンド</t>
    </rPh>
    <rPh sb="74" eb="76">
      <t>ホンダ</t>
    </rPh>
    <rPh sb="141" eb="143">
      <t>ジッソウ</t>
    </rPh>
    <rPh sb="143" eb="145">
      <t>ハンダン</t>
    </rPh>
    <rPh sb="152" eb="153">
      <t>ト</t>
    </rPh>
    <rPh sb="154" eb="155">
      <t>サ</t>
    </rPh>
    <rPh sb="158" eb="160">
      <t>コウシン</t>
    </rPh>
    <rPh sb="177" eb="179">
      <t>ホンダ</t>
    </rPh>
    <rPh sb="210" eb="212">
      <t>アンケン</t>
    </rPh>
    <phoneticPr fontId="2"/>
  </si>
  <si>
    <t>クラウド型電子カルテとのクラウド間連携用の認証基盤、APIゲートウェイ等を新規構築する</t>
    <rPh sb="4" eb="7">
      <t>ガタデンシ</t>
    </rPh>
    <rPh sb="16" eb="19">
      <t>カンレンケイ</t>
    </rPh>
    <rPh sb="19" eb="20">
      <t>ヨウ</t>
    </rPh>
    <rPh sb="21" eb="25">
      <t>ニンショウキバン</t>
    </rPh>
    <rPh sb="35" eb="36">
      <t>ナド</t>
    </rPh>
    <rPh sb="37" eb="39">
      <t>シンキ</t>
    </rPh>
    <rPh sb="39" eb="41">
      <t>コウチク</t>
    </rPh>
    <phoneticPr fontId="2"/>
  </si>
  <si>
    <t>取り下げ理由
クラウド間連携は、厚労省の別チームにて、予算を立てて管理しているため、電子カルテ情報共有サービスとは切り離して案件管理するため</t>
    <rPh sb="0" eb="4">
      <t>トリサゲリ</t>
    </rPh>
    <rPh sb="4" eb="6">
      <t>ユウ</t>
    </rPh>
    <phoneticPr fontId="2"/>
  </si>
  <si>
    <t>※詳細は案件048を参照</t>
    <rPh sb="1" eb="3">
      <t>ショウサイ</t>
    </rPh>
    <rPh sb="4" eb="6">
      <t>アンケン</t>
    </rPh>
    <rPh sb="10" eb="12">
      <t>サンショウ</t>
    </rPh>
    <phoneticPr fontId="2"/>
  </si>
  <si>
    <t>048</t>
    <phoneticPr fontId="2"/>
  </si>
  <si>
    <t>048_01</t>
    <phoneticPr fontId="2"/>
  </si>
  <si>
    <t>RESTful APIを用いてFHIRリソース単位のデータ取得が可能なDB及びAPI構築（クラウド間連携をしている電子カルテを前提としたRESTful API対応）</t>
    <rPh sb="12" eb="13">
      <t>モチ</t>
    </rPh>
    <rPh sb="23" eb="25">
      <t>タンイ</t>
    </rPh>
    <rPh sb="29" eb="31">
      <t>シュトク</t>
    </rPh>
    <rPh sb="32" eb="34">
      <t>カノウ</t>
    </rPh>
    <rPh sb="37" eb="38">
      <t>オヨ</t>
    </rPh>
    <rPh sb="42" eb="44">
      <t>コウチク</t>
    </rPh>
    <phoneticPr fontId="2"/>
  </si>
  <si>
    <t>（要確認）</t>
  </si>
  <si>
    <t>■起票背景
現状、電子カルテ情報共有サービスは、臨床情報をFHIR形式でデータ登録させている一方で、医療機関に提供する情報については、帳票レイアウトに合わせて、FHIRのデータの一部を落とした情報を連携している。また、FHIRではRESTful APIの仕様がデファクトスタンダードになっているが、オンライン資格確認システムがPOSTメソッドのみに機能を絞った通信を行っており、電子カルテ情報共有サービスも後者POSTメソッドを採用している。
■目的
FHIRをベースとした「医療情報の標準化」及び「データ連携の標準化」をより推進すること。</t>
    <rPh sb="1" eb="3">
      <t>キヒョウ</t>
    </rPh>
    <rPh sb="3" eb="5">
      <t>ハイケイ</t>
    </rPh>
    <rPh sb="224" eb="226">
      <t>モクテキ</t>
    </rPh>
    <phoneticPr fontId="2"/>
  </si>
  <si>
    <t>データ送受信機能</t>
    <rPh sb="3" eb="6">
      <t>ソウジュシン</t>
    </rPh>
    <rPh sb="6" eb="8">
      <t>キノウ</t>
    </rPh>
    <phoneticPr fontId="2"/>
  </si>
  <si>
    <t xml:space="preserve">■対象スコープ
RESTful APIの実装範囲は、クラウド型電子カルテのクラウド環境から、電子カルテ情報共有サービスに登録された臨床情報のデータ取得に係る通信のみを対象とする。
そのため、以下は実装対象外とする。
　・医療機関のオンプレシステムからの通信
　・電子カルテ情報共有サービスで取り扱う３文書のデータ登録(更新・削除含む)・データ取得
　・電子カルテ情報共有サービスで取り扱う臨床情報のデータ登録(更新・削除含む)
■データベース
新たなデータベースを構築する場合は、NoSQL型とし、既存の臨床情報閲覧データベース(AuroraDB)で実現する機能を移管し、統合すること。
どのデータベースにするかは性能・費用面から最適なものを提案すること。
■データ加工
新たなデータベースを構築する場合は、現行と同様、検査43項目及び感染症5項目以外のObservationリソースはそぎ落として格納すること。
■API
リソース単位でデータ取得できるようにする場合は、AllergyIntolerance、Condition、Observation、MedicationRequestを対象に、HL7InternationalやJP-COREで規定されたSearchParameterを用いたGetメソッドによるデータ取得ができること。
※非機能要件として、現行の医療情報閲覧機能と同等のレスポンスタイムを維持すること。
■認証認可
クラウド間連携で構築する認証認可機能から発行される認証情報(トークン等)の識別によって、クラウド間連携ルートのみに利用できるように制御すること。
※認証認可の仕組みに係る構築費用は、本見積の対象外。
■患者情報
誤情報の提供を防ぐためにも、現行と同様、オンライン資格確認システムで保持する患者情報・資格情報を、閲覧要求した医療機関等に対して提供すること。各医療機関が記述したPatientリソースをそのまま返却せず基盤側で患者情報をPatientリソースにマッピングして提供する等、RESTfulAPIにあった方法を提案すること。
■備考
サービスデザインは以下のいづれかを想定
①今ある臨床情報管理DBの臨床情報閲覧要求をGetメソッドで取得。
②個人識別子や期間等の属性情報を検索条件してFHIRリソース単位のデータをGetメソッドで取得。
③臨床情報の中身(ステータスや検査値等)を検索条件としてFHIRリソース単位のデータをGetメソッドで取得。
</t>
    <rPh sb="1" eb="3">
      <t>タイショウ</t>
    </rPh>
    <rPh sb="333" eb="335">
      <t>カコウ</t>
    </rPh>
    <rPh sb="614" eb="616">
      <t>ニンショウ</t>
    </rPh>
    <rPh sb="616" eb="618">
      <t>ニンカ</t>
    </rPh>
    <rPh sb="720" eb="722">
      <t>カンジャ</t>
    </rPh>
    <rPh sb="722" eb="724">
      <t>ジョウホウ</t>
    </rPh>
    <rPh sb="887" eb="889">
      <t>ビコウ</t>
    </rPh>
    <rPh sb="899" eb="901">
      <t>イカ</t>
    </rPh>
    <rPh sb="907" eb="909">
      <t>ソウテイ</t>
    </rPh>
    <phoneticPr fontId="2"/>
  </si>
  <si>
    <t>050</t>
    <phoneticPr fontId="2"/>
  </si>
  <si>
    <t>050_01</t>
    <phoneticPr fontId="2"/>
  </si>
  <si>
    <t>マイナポ連携</t>
  </si>
  <si>
    <t>オプトアウト</t>
    <phoneticPr fontId="2"/>
  </si>
  <si>
    <t>2025/11/25 ACN 本田
厚労省と確認し、本案件は令和9年度以降のリリースになるため、リリース希望時期を更新。
■リリース希望時期
　令和8年度→令和9年度以降
2025/10/29 ACN木村
令和8年度案件台帳のレイアウト改善に伴い、起票済み令和8年度案件を新レイアウトに移行</t>
    <rPh sb="15" eb="17">
      <t>ホンダ</t>
    </rPh>
    <rPh sb="18" eb="21">
      <t>コウロウショウ</t>
    </rPh>
    <rPh sb="22" eb="24">
      <t>カクニン</t>
    </rPh>
    <rPh sb="26" eb="27">
      <t>ホン</t>
    </rPh>
    <rPh sb="27" eb="29">
      <t>アンケン</t>
    </rPh>
    <rPh sb="52" eb="54">
      <t>キボウ</t>
    </rPh>
    <rPh sb="54" eb="56">
      <t>ジキ</t>
    </rPh>
    <rPh sb="57" eb="59">
      <t>コウシン</t>
    </rPh>
    <rPh sb="66" eb="68">
      <t>キボウ</t>
    </rPh>
    <rPh sb="68" eb="70">
      <t>ジキ</t>
    </rPh>
    <rPh sb="72" eb="74">
      <t>レイワ</t>
    </rPh>
    <rPh sb="75" eb="77">
      <t>ネンド</t>
    </rPh>
    <rPh sb="78" eb="80">
      <t>レイワ</t>
    </rPh>
    <rPh sb="81" eb="83">
      <t>ネンド</t>
    </rPh>
    <rPh sb="83" eb="85">
      <t>イコウ</t>
    </rPh>
    <rPh sb="86" eb="88">
      <t>レイワ</t>
    </rPh>
    <rPh sb="89" eb="90">
      <t>ネン</t>
    </rPh>
    <rPh sb="90" eb="91">
      <t>ド</t>
    </rPh>
    <rPh sb="92" eb="94">
      <t>レイワ</t>
    </rPh>
    <rPh sb="110" eb="112">
      <t>キムラ</t>
    </rPh>
    <rPh sb="113" eb="115">
      <t>レイワ</t>
    </rPh>
    <rPh sb="116" eb="118">
      <t>ネンド</t>
    </rPh>
    <rPh sb="118" eb="122">
      <t>アンケンダイチョウ</t>
    </rPh>
    <rPh sb="128" eb="130">
      <t>カイゼン</t>
    </rPh>
    <rPh sb="131" eb="132">
      <t>トモナ</t>
    </rPh>
    <rPh sb="134" eb="137">
      <t>キヒョウズ</t>
    </rPh>
    <rPh sb="138" eb="140">
      <t>レイワ</t>
    </rPh>
    <rPh sb="141" eb="143">
      <t>ネンド</t>
    </rPh>
    <rPh sb="143" eb="145">
      <t>アンケンシンイコウ</t>
    </rPh>
    <phoneticPr fontId="2"/>
  </si>
  <si>
    <t>患者のオプトアウトによる基盤内データ保存制御機能を新規構築する（操作はマイナポータルを想定)</t>
    <rPh sb="0" eb="2">
      <t>カンジャ</t>
    </rPh>
    <rPh sb="12" eb="14">
      <t>キバン</t>
    </rPh>
    <rPh sb="14" eb="15">
      <t>ナイ</t>
    </rPh>
    <rPh sb="18" eb="20">
      <t>ホゾン</t>
    </rPh>
    <rPh sb="20" eb="24">
      <t>セイギョキノウ</t>
    </rPh>
    <rPh sb="25" eb="29">
      <t>シンキコウチク</t>
    </rPh>
    <rPh sb="32" eb="34">
      <t>ソウサ</t>
    </rPh>
    <rPh sb="43" eb="45">
      <t>ソウテイ</t>
    </rPh>
    <phoneticPr fontId="2"/>
  </si>
  <si>
    <t>デジタル庁：未着手</t>
    <rPh sb="4" eb="5">
      <t>チョウ</t>
    </rPh>
    <rPh sb="6" eb="9">
      <t>ミチャクシュ</t>
    </rPh>
    <phoneticPr fontId="2"/>
  </si>
  <si>
    <t>053</t>
  </si>
  <si>
    <t>053_01</t>
  </si>
  <si>
    <t>PHR事業者向けのマイナポAPI(RESTful)を新規構築する</t>
    <rPh sb="3" eb="7">
      <t>ジギョウシャム</t>
    </rPh>
    <rPh sb="26" eb="30">
      <t>シンキコウチク</t>
    </rPh>
    <phoneticPr fontId="2"/>
  </si>
  <si>
    <r>
      <rPr>
        <sz val="11"/>
        <color rgb="FFFF0000"/>
        <rFont val="Meiryo UI"/>
        <family val="3"/>
        <charset val="128"/>
      </rPr>
      <t>2026/9/25 ACN黒川
厚労省での検討の結果、リリース希望時期を令和9年度以降から令和10年度以降に変更。</t>
    </r>
    <r>
      <rPr>
        <sz val="11"/>
        <color theme="1"/>
        <rFont val="Meiryo UI"/>
        <family val="3"/>
        <charset val="128"/>
      </rPr>
      <t xml:space="preserve">
2025/11/25 ACN 本田
令和8年度案件台帳のレイアウト改善に伴い、起票済み令和8年度案件を新レイアウトに移行</t>
    </r>
    <rPh sb="74" eb="76">
      <t>ホンダ</t>
    </rPh>
    <rPh sb="107" eb="109">
      <t>アンケン</t>
    </rPh>
    <phoneticPr fontId="2"/>
  </si>
  <si>
    <t>デジタル庁：調整中</t>
    <rPh sb="4" eb="5">
      <t>チョウ</t>
    </rPh>
    <rPh sb="6" eb="8">
      <t>チョウセイ</t>
    </rPh>
    <rPh sb="8" eb="9">
      <t>チュウ</t>
    </rPh>
    <phoneticPr fontId="2"/>
  </si>
  <si>
    <t>059</t>
    <phoneticPr fontId="2"/>
  </si>
  <si>
    <t>059_01</t>
    <phoneticPr fontId="2"/>
  </si>
  <si>
    <t>医療機関等検索の検索キーの追加</t>
    <phoneticPr fontId="2"/>
  </si>
  <si>
    <r>
      <rPr>
        <sz val="11"/>
        <color rgb="FFFF0000"/>
        <rFont val="Meiryo UI"/>
        <family val="3"/>
        <charset val="128"/>
      </rPr>
      <t xml:space="preserve">2026/9/25 ACN黒川
厚労省での検討の結果、リリース希望時期を令和9年度以降から令和9年度に変更。
</t>
    </r>
    <r>
      <rPr>
        <sz val="11"/>
        <color theme="1"/>
        <rFont val="Meiryo UI"/>
        <family val="3"/>
        <charset val="128"/>
      </rPr>
      <t xml:space="preserve">
2025/11/25 ACN 本田
厚労省と確認し、本案件は令和9年度以降のリリースになるため、リリース希望時期を更新。
■リリース希望時期
　令和8年度→令和9年度以降
2025/10/29 ACN木村
令和8年度案件台帳のレイアウト改善に伴い、起票済み令和8年度案件を新レイアウトに移行</t>
    </r>
    <rPh sb="48" eb="50">
      <t>ネンド</t>
    </rPh>
    <rPh sb="157" eb="159">
      <t>キムラ</t>
    </rPh>
    <rPh sb="160" eb="162">
      <t>レイワ</t>
    </rPh>
    <rPh sb="163" eb="165">
      <t>ネンド</t>
    </rPh>
    <rPh sb="165" eb="169">
      <t>アンケンダイチョウ</t>
    </rPh>
    <rPh sb="175" eb="177">
      <t>カイゼン</t>
    </rPh>
    <rPh sb="178" eb="179">
      <t>トモナ</t>
    </rPh>
    <rPh sb="181" eb="184">
      <t>キヒョウズ</t>
    </rPh>
    <rPh sb="185" eb="187">
      <t>レイワ</t>
    </rPh>
    <rPh sb="188" eb="190">
      <t>ネンド</t>
    </rPh>
    <rPh sb="190" eb="192">
      <t>アンケン</t>
    </rPh>
    <rPh sb="193" eb="194">
      <t>シン</t>
    </rPh>
    <rPh sb="200" eb="202">
      <t>イコウ</t>
    </rPh>
    <phoneticPr fontId="2"/>
  </si>
  <si>
    <t>デジ庁検知/要望</t>
    <rPh sb="2" eb="3">
      <t>チョウ</t>
    </rPh>
    <rPh sb="3" eb="5">
      <t>ケンチ</t>
    </rPh>
    <rPh sb="6" eb="8">
      <t>ヨウボウ</t>
    </rPh>
    <phoneticPr fontId="2"/>
  </si>
  <si>
    <t>マイナポータルにおいて医療機関検索の拡充（医療機関名（カナ）の項目追加、都道府県入力必須の解除）</t>
    <rPh sb="11" eb="17">
      <t>イリョウキカンケンサク</t>
    </rPh>
    <rPh sb="18" eb="20">
      <t>カクジュウ</t>
    </rPh>
    <rPh sb="21" eb="23">
      <t>イリョウ</t>
    </rPh>
    <rPh sb="23" eb="25">
      <t>キカン</t>
    </rPh>
    <rPh sb="25" eb="26">
      <t>メイ</t>
    </rPh>
    <rPh sb="31" eb="33">
      <t>コウモク</t>
    </rPh>
    <rPh sb="33" eb="35">
      <t>ツイカ</t>
    </rPh>
    <rPh sb="36" eb="40">
      <t>トドウフケン</t>
    </rPh>
    <rPh sb="40" eb="42">
      <t>ニュウリョク</t>
    </rPh>
    <rPh sb="42" eb="44">
      <t>ヒッス</t>
    </rPh>
    <rPh sb="45" eb="47">
      <t>カイジョ</t>
    </rPh>
    <phoneticPr fontId="2"/>
  </si>
  <si>
    <t>現行のマイナポータルでは、「医療機関・薬局のある都道府県」「医療機関・薬局名」を必須項目として入力することで医療機関等の検索を行うことになっている。
検索項目に「医療機関名カナ」「所在地」を追加するなど、医療機関等の検索機能を改善する。</t>
    <rPh sb="40" eb="44">
      <t>ヒッスコウモク</t>
    </rPh>
    <rPh sb="75" eb="79">
      <t>ケンサクコウモク</t>
    </rPh>
    <rPh sb="90" eb="93">
      <t>ショザイチ</t>
    </rPh>
    <rPh sb="106" eb="107">
      <t>トウ</t>
    </rPh>
    <rPh sb="108" eb="110">
      <t>ケンサク</t>
    </rPh>
    <rPh sb="110" eb="112">
      <t>キノウ</t>
    </rPh>
    <rPh sb="113" eb="115">
      <t>カイゼン</t>
    </rPh>
    <phoneticPr fontId="2"/>
  </si>
  <si>
    <t>マイナポータル上での医療機関検索の利便性が向上する。</t>
    <rPh sb="7" eb="8">
      <t>ジョウ</t>
    </rPh>
    <rPh sb="10" eb="16">
      <t>イリョウキカンケンサク</t>
    </rPh>
    <rPh sb="17" eb="20">
      <t>リベンセイ</t>
    </rPh>
    <rPh sb="21" eb="23">
      <t>コウジョウ</t>
    </rPh>
    <phoneticPr fontId="2"/>
  </si>
  <si>
    <t>デジタル庁：済</t>
    <rPh sb="4" eb="5">
      <t>チョウ</t>
    </rPh>
    <rPh sb="6" eb="7">
      <t>スミ</t>
    </rPh>
    <phoneticPr fontId="2"/>
  </si>
  <si>
    <t>マイナポータル上での医療機関等の検索</t>
    <rPh sb="7" eb="8">
      <t>ジョウ</t>
    </rPh>
    <rPh sb="10" eb="12">
      <t>イリョウ</t>
    </rPh>
    <rPh sb="12" eb="14">
      <t>キカン</t>
    </rPh>
    <rPh sb="14" eb="15">
      <t>トウ</t>
    </rPh>
    <rPh sb="16" eb="18">
      <t>ケンサク</t>
    </rPh>
    <phoneticPr fontId="2"/>
  </si>
  <si>
    <t>国民がマイナポータルで医療機関を検索する際、下記検索条件にて医療機関の検索を可能とする。
＜マイナポータルの変更内容＞
・追加項目：「医療機関名（カナ）」「所在地」
・必須条件から任意条件へ変更：「都道府県」
※追加項目の検索方法はあいまい検索とする
※追加項目は任意入力項目とする</t>
    <rPh sb="0" eb="2">
      <t>コクミン</t>
    </rPh>
    <rPh sb="11" eb="13">
      <t>イリョウ</t>
    </rPh>
    <rPh sb="13" eb="15">
      <t>キカン</t>
    </rPh>
    <rPh sb="16" eb="18">
      <t>ケンサク</t>
    </rPh>
    <rPh sb="20" eb="21">
      <t>サイ</t>
    </rPh>
    <rPh sb="24" eb="26">
      <t>ケンサク</t>
    </rPh>
    <phoneticPr fontId="2"/>
  </si>
  <si>
    <t>マイナポータル</t>
  </si>
  <si>
    <t>既存の通り</t>
    <rPh sb="0" eb="2">
      <t>キゾン</t>
    </rPh>
    <rPh sb="3" eb="4">
      <t>トオ</t>
    </rPh>
    <phoneticPr fontId="2"/>
  </si>
  <si>
    <t>起票中</t>
    <rPh sb="0" eb="3">
      <t>キヒョウチュウ</t>
    </rPh>
    <phoneticPr fontId="2"/>
  </si>
  <si>
    <t>070</t>
    <phoneticPr fontId="2"/>
  </si>
  <si>
    <t>070_01</t>
  </si>
  <si>
    <t>アドオンチェック</t>
  </si>
  <si>
    <t>古い被保番対応の蓋開け（古い被保番に対するアドオンチェックの削除）</t>
    <rPh sb="0" eb="1">
      <t>フル</t>
    </rPh>
    <rPh sb="2" eb="3">
      <t>ヒ</t>
    </rPh>
    <rPh sb="3" eb="4">
      <t>ホ</t>
    </rPh>
    <rPh sb="4" eb="5">
      <t>バン</t>
    </rPh>
    <rPh sb="5" eb="7">
      <t>タイオウ</t>
    </rPh>
    <rPh sb="8" eb="9">
      <t>フタ</t>
    </rPh>
    <rPh sb="9" eb="10">
      <t>ア</t>
    </rPh>
    <rPh sb="12" eb="13">
      <t>フル</t>
    </rPh>
    <rPh sb="14" eb="15">
      <t>ヒ</t>
    </rPh>
    <rPh sb="15" eb="16">
      <t>ホ</t>
    </rPh>
    <rPh sb="16" eb="17">
      <t>バン</t>
    </rPh>
    <rPh sb="18" eb="19">
      <t>タイ</t>
    </rPh>
    <rPh sb="30" eb="32">
      <t>サクジョ</t>
    </rPh>
    <phoneticPr fontId="2"/>
  </si>
  <si>
    <t xml:space="preserve">2026/8/10 ACN黒川
(リリース希望時期綺麗化作業)リリース希望時期を「令和8年度(モデル事業において、当該機能も検証スコープとするべきであるため、令和8年10月よりも早い時期でのリリースを検討する。)」から「取り下げ」に変更。
2026/6/19 ACN本田
2026/6/15 開発課題検討会にて、本案件は取り下げる方針であることを報告済みであるため更新。
2025/11/20 ACN相良
11/17開発課題検討会にて、省令の整理を実施するにあたっての法令の施行が3月リリースに間に合わないことを想定して、令和8年度以降とすることを合意したため、移管を行った。
なお、モデル事業において、当該機能も検証スコープとするべきであるため、令和8年10月よりも早い時期でのリリースを検討する。
</t>
    <rPh sb="134" eb="136">
      <t>ホンダ</t>
    </rPh>
    <rPh sb="147" eb="149">
      <t>カイハツ</t>
    </rPh>
    <rPh sb="149" eb="151">
      <t>カダイ</t>
    </rPh>
    <rPh sb="151" eb="153">
      <t>ケントウ</t>
    </rPh>
    <rPh sb="153" eb="154">
      <t>カイ</t>
    </rPh>
    <rPh sb="157" eb="158">
      <t>ホン</t>
    </rPh>
    <rPh sb="158" eb="160">
      <t>アンケン</t>
    </rPh>
    <rPh sb="161" eb="162">
      <t>ト</t>
    </rPh>
    <rPh sb="163" eb="164">
      <t>サ</t>
    </rPh>
    <rPh sb="166" eb="168">
      <t>ホウシン</t>
    </rPh>
    <rPh sb="174" eb="176">
      <t>ホウコク</t>
    </rPh>
    <rPh sb="176" eb="177">
      <t>ズ</t>
    </rPh>
    <rPh sb="183" eb="185">
      <t>コウシン</t>
    </rPh>
    <phoneticPr fontId="2"/>
  </si>
  <si>
    <t>要件不備対応</t>
  </si>
  <si>
    <t>法令対応</t>
    <rPh sb="0" eb="2">
      <t>ホウレイ</t>
    </rPh>
    <rPh sb="2" eb="4">
      <t>タイオウ</t>
    </rPh>
    <phoneticPr fontId="2"/>
  </si>
  <si>
    <t>厚労省</t>
    <rPh sb="0" eb="3">
      <t>コウロウショウ</t>
    </rPh>
    <phoneticPr fontId="2"/>
  </si>
  <si>
    <t>古い被保番対応の蓋開け（古い被保番に対するアドオンチェックの削除）</t>
    <rPh sb="0" eb="1">
      <t>フル</t>
    </rPh>
    <rPh sb="2" eb="5">
      <t>ヒホバン</t>
    </rPh>
    <rPh sb="5" eb="7">
      <t>タイオウ</t>
    </rPh>
    <rPh sb="8" eb="9">
      <t>フタ</t>
    </rPh>
    <rPh sb="9" eb="10">
      <t>ア</t>
    </rPh>
    <rPh sb="12" eb="13">
      <t>フル</t>
    </rPh>
    <rPh sb="14" eb="17">
      <t>ヒホバン</t>
    </rPh>
    <rPh sb="18" eb="19">
      <t>タイ</t>
    </rPh>
    <rPh sb="30" eb="32">
      <t>サクジョ</t>
    </rPh>
    <phoneticPr fontId="2"/>
  </si>
  <si>
    <t>■起票背景
関連ID10(令和7年度案件)の「被保番の振替処理（古い被保番対応）」をオン資で実施するためには、省令で実施根拠を整理する必要があるため、それまでの間は、医療機関等での「古い被保番」を用いた健診結果報告書の登録を制限する運用としている。
上記の運用にするため、現在暫定的にアドオンチェック(健診実施日時点における古い被保番が記録されている場合エラーとするチェック)を実装している。
■目的
「被保番の振替処理（古い被保番対応）」の恒久対応の実現</t>
    <phoneticPr fontId="2"/>
  </si>
  <si>
    <t>（記載対象外）</t>
    <rPh sb="1" eb="3">
      <t>キサイ</t>
    </rPh>
    <rPh sb="3" eb="6">
      <t>タイショウガイ</t>
    </rPh>
    <phoneticPr fontId="2"/>
  </si>
  <si>
    <t xml:space="preserve">健診文書の登録
</t>
    <rPh sb="0" eb="2">
      <t>ケンシン</t>
    </rPh>
    <rPh sb="2" eb="4">
      <t>ブンショ</t>
    </rPh>
    <rPh sb="5" eb="7">
      <t>トウロク</t>
    </rPh>
    <phoneticPr fontId="2"/>
  </si>
  <si>
    <t>電カル共有</t>
    <phoneticPr fontId="2"/>
  </si>
  <si>
    <t>【厚労省の認識】
■要求事項
・対象：アドオンチェック機能
・内容：令和7年度案件_ID010「被保番の振替処理（古い被保番対応）」の暫定対応として古い被保番が記録されていた場合はエラーとするアドオンチェックを廃止する。</t>
    <rPh sb="1" eb="4">
      <t>コウロウショウ</t>
    </rPh>
    <rPh sb="5" eb="7">
      <t>ニンシキ</t>
    </rPh>
    <phoneticPr fontId="2"/>
  </si>
  <si>
    <t>085</t>
    <phoneticPr fontId="2"/>
  </si>
  <si>
    <t>085_01</t>
    <phoneticPr fontId="2"/>
  </si>
  <si>
    <t>FHIR記述仕様に記載のないプロファイル/リソースは登録できないようにするためのアドオンチェック</t>
    <rPh sb="0" eb="2">
      <t>フクスウ</t>
    </rPh>
    <rPh sb="21" eb="23">
      <t>コンザイ</t>
    </rPh>
    <rPh sb="27" eb="29">
      <t>バアイ</t>
    </rPh>
    <phoneticPr fontId="2"/>
  </si>
  <si>
    <t>2025/12/8 ACN本田
12/1開発課題検討会にて取り下げを報告したため、実装判断・リリース希望時期を取り下げに変更。
取り下げ理由は備考(W列を参照)
2025/10/29 ACN木村
令和8年度案件台帳のレイアウト改善に伴い、起票済み令和8年度案件を新レイアウトに移行</t>
    <rPh sb="96" eb="98">
      <t>キムラ</t>
    </rPh>
    <rPh sb="99" eb="101">
      <t>レイワ</t>
    </rPh>
    <rPh sb="102" eb="104">
      <t>ネンド</t>
    </rPh>
    <rPh sb="104" eb="108">
      <t>アンケンダイチョウ</t>
    </rPh>
    <rPh sb="114" eb="116">
      <t>カイゼン</t>
    </rPh>
    <rPh sb="117" eb="118">
      <t>トモナ</t>
    </rPh>
    <rPh sb="120" eb="123">
      <t>キヒョウズ</t>
    </rPh>
    <rPh sb="124" eb="126">
      <t>レイワ</t>
    </rPh>
    <rPh sb="127" eb="129">
      <t>ネンド</t>
    </rPh>
    <rPh sb="129" eb="131">
      <t>アンケン</t>
    </rPh>
    <rPh sb="132" eb="133">
      <t>シン</t>
    </rPh>
    <rPh sb="139" eb="141">
      <t>イコウ</t>
    </rPh>
    <phoneticPr fontId="2"/>
  </si>
  <si>
    <t>仕様不備対応</t>
    <rPh sb="0" eb="2">
      <t>シヨウ</t>
    </rPh>
    <rPh sb="2" eb="4">
      <t>フビ</t>
    </rPh>
    <rPh sb="4" eb="6">
      <t>タイオウ</t>
    </rPh>
    <phoneticPr fontId="2"/>
  </si>
  <si>
    <t>外部団体</t>
    <rPh sb="0" eb="2">
      <t>ガイブ</t>
    </rPh>
    <rPh sb="2" eb="4">
      <t>ダンタイ</t>
    </rPh>
    <phoneticPr fontId="2"/>
  </si>
  <si>
    <t>FHIR記述仕様に記載のないプロファイル/リソースは登録できないようにするためのバリデーションチェック</t>
    <phoneticPr fontId="2"/>
  </si>
  <si>
    <t>■起票背景
5/13 JAHIS定例にて技術解説書の記載に関して、ベンダから以下の指摘を受領。
---
「表19で示すFHIR記述仕様/実装ガイドに記載されていないリソース及びプロファイルは本サービスの取り扱い対象外です。取り扱い対象外のリソース及びプロファイルを使って表現された情報は、本サービスに登録されても、当該情報を取得した医療機関側で表示されない可能性がありますので、」とあるが、取り扱い対象外のリソース及びプロファイルを使って表現された場合はバリデーションチェックではじかれて登録されないのがあるべきなんじゃないか？登録される前提で書くのに違和感がある
■目的
診療情報提供書、退院時サマリーの送受信において、紹介元医療機関が伝達したい内容が、もれなく紹介先医療機関に伝えられるようにすること。</t>
    <rPh sb="1" eb="3">
      <t>キヒョウ</t>
    </rPh>
    <rPh sb="3" eb="5">
      <t>ハイケイ</t>
    </rPh>
    <phoneticPr fontId="3"/>
  </si>
  <si>
    <t>診療情報提供書、退院時サマリーの送受信において、紹介元医療機関が伝達したい内容が、もれなく紹介先医療機関に伝えられる</t>
    <phoneticPr fontId="2"/>
  </si>
  <si>
    <t>大江先生：調整中（R8年度以降の実施で引き続き調整中）</t>
    <rPh sb="0" eb="4">
      <t>オオエセンセイ</t>
    </rPh>
    <rPh sb="5" eb="8">
      <t>チョウセイチュウ</t>
    </rPh>
    <rPh sb="11" eb="15">
      <t>ネンドイコウ</t>
    </rPh>
    <rPh sb="16" eb="18">
      <t>ジッシ</t>
    </rPh>
    <phoneticPr fontId="2"/>
  </si>
  <si>
    <t>取り下げ理由：ナラティブを表示して個別リソースを使わない整理としたので当初の課題感は解決しているため</t>
    <rPh sb="0" eb="1">
      <t>ト</t>
    </rPh>
    <rPh sb="2" eb="3">
      <t>サ</t>
    </rPh>
    <rPh sb="4" eb="6">
      <t>リユウ</t>
    </rPh>
    <phoneticPr fontId="2"/>
  </si>
  <si>
    <t>3文書6情報の登録</t>
    <rPh sb="1" eb="3">
      <t>ブンショ</t>
    </rPh>
    <rPh sb="4" eb="6">
      <t>ジョウホウ</t>
    </rPh>
    <rPh sb="7" eb="9">
      <t>トウロク</t>
    </rPh>
    <phoneticPr fontId="2"/>
  </si>
  <si>
    <t>・対象：アドオンチェック機能
・内容：JP-Clinsと健診実装ガイドのアーティファクトに収載されているプロファイル以外のプロファイル/リソースを記述してデータ登録した場合にError返却する。</t>
    <phoneticPr fontId="2"/>
  </si>
  <si>
    <t>094</t>
    <phoneticPr fontId="2"/>
  </si>
  <si>
    <t>094_01</t>
    <phoneticPr fontId="2"/>
  </si>
  <si>
    <t>臨床情報(全般)</t>
    <rPh sb="0" eb="4">
      <t>リンショウジョウホウ</t>
    </rPh>
    <rPh sb="5" eb="7">
      <t>ゼンパン</t>
    </rPh>
    <phoneticPr fontId="2"/>
  </si>
  <si>
    <t>死亡した患者の長期保存フラグのついた情報の削除</t>
    <rPh sb="0" eb="2">
      <t>シボウ</t>
    </rPh>
    <rPh sb="4" eb="6">
      <t>カンジャ</t>
    </rPh>
    <rPh sb="7" eb="11">
      <t>チョウキホゾン</t>
    </rPh>
    <rPh sb="18" eb="20">
      <t>ジョウホウ</t>
    </rPh>
    <rPh sb="21" eb="23">
      <t>サクジョ</t>
    </rPh>
    <phoneticPr fontId="3"/>
  </si>
  <si>
    <r>
      <rPr>
        <sz val="11"/>
        <color rgb="FFFF0000"/>
        <rFont val="Meiryo UI"/>
        <family val="3"/>
        <charset val="128"/>
      </rPr>
      <t xml:space="preserve">2026/9/25 ACN黒川
厚労省での検討の結果、リリース希望時期を令和9年度以降から令和10年度以降に変更。
</t>
    </r>
    <r>
      <rPr>
        <sz val="11"/>
        <color theme="1"/>
        <rFont val="Meiryo UI"/>
        <family val="3"/>
        <charset val="128"/>
      </rPr>
      <t xml:space="preserve">
2025/11/25 ACN 本田
厚労省と確認し、本案件は令和9年度以降のリリースになるため、リリース希望時期を更新。
なお、本案件は「死亡情報」の取得ルートが定まるまで開発を延伸する方針である。
■リリース希望時期
　令和8年度→令和9年度以降
2025/10/29 ACN木村
令和8年度案件台帳のレイアウト改善に伴い、起票済み令和8年度案件を新レイアウトに移行</t>
    </r>
    <rPh sb="123" eb="124">
      <t>ホン</t>
    </rPh>
    <rPh sb="124" eb="126">
      <t>アンケン</t>
    </rPh>
    <rPh sb="128" eb="130">
      <t>シボウ</t>
    </rPh>
    <rPh sb="130" eb="132">
      <t>ジョウホウ</t>
    </rPh>
    <rPh sb="134" eb="136">
      <t>シュトク</t>
    </rPh>
    <rPh sb="140" eb="141">
      <t>サダ</t>
    </rPh>
    <rPh sb="145" eb="147">
      <t>カイハツ</t>
    </rPh>
    <rPh sb="148" eb="150">
      <t>エンシン</t>
    </rPh>
    <rPh sb="152" eb="154">
      <t>ホウシン</t>
    </rPh>
    <rPh sb="199" eb="201">
      <t>キムラ</t>
    </rPh>
    <rPh sb="202" eb="204">
      <t>レイワ</t>
    </rPh>
    <rPh sb="205" eb="207">
      <t>ネンド</t>
    </rPh>
    <rPh sb="207" eb="211">
      <t>アンケンダイチョウ</t>
    </rPh>
    <rPh sb="217" eb="219">
      <t>カイゼン</t>
    </rPh>
    <rPh sb="220" eb="221">
      <t>トモナ</t>
    </rPh>
    <rPh sb="223" eb="226">
      <t>キヒョウズ</t>
    </rPh>
    <rPh sb="227" eb="229">
      <t>レイワ</t>
    </rPh>
    <rPh sb="230" eb="232">
      <t>ネンド</t>
    </rPh>
    <rPh sb="232" eb="234">
      <t>アンケン</t>
    </rPh>
    <rPh sb="235" eb="236">
      <t>シン</t>
    </rPh>
    <rPh sb="242" eb="244">
      <t>イコウ</t>
    </rPh>
    <phoneticPr fontId="2"/>
  </si>
  <si>
    <t>厚労省内部検知/要望</t>
    <rPh sb="0" eb="2">
      <t>コウロウ</t>
    </rPh>
    <rPh sb="2" eb="3">
      <t>ショウ</t>
    </rPh>
    <rPh sb="3" eb="4">
      <t>ナイ</t>
    </rPh>
    <rPh sb="4" eb="5">
      <t>ブ</t>
    </rPh>
    <rPh sb="5" eb="7">
      <t>ケンチ</t>
    </rPh>
    <rPh sb="8" eb="10">
      <t>ヨウボウ</t>
    </rPh>
    <phoneticPr fontId="2"/>
  </si>
  <si>
    <t>死亡した患者の長期保存フラグのついた情報の取り扱うための機能を追加する</t>
    <rPh sb="0" eb="2">
      <t>シボウ</t>
    </rPh>
    <rPh sb="4" eb="6">
      <t>カンジャ</t>
    </rPh>
    <rPh sb="7" eb="11">
      <t>チョウキホゾン</t>
    </rPh>
    <rPh sb="18" eb="20">
      <t>ジョウホウ</t>
    </rPh>
    <rPh sb="21" eb="22">
      <t>ト</t>
    </rPh>
    <phoneticPr fontId="3"/>
  </si>
  <si>
    <t>■起票背景
現状、長期保存フラグが設定されている臨床情報の保存期間は明確に定められておらず、死亡した患者の情報はオン資のデータベースに残り続ける。
■目的
１次利用で閲覧する場面において利用できない死亡した患者の情報については基盤側で残置され続けないようにする。</t>
    <phoneticPr fontId="2"/>
  </si>
  <si>
    <t>不要なランニングコストが抑えられる</t>
    <rPh sb="0" eb="2">
      <t>フヨウ</t>
    </rPh>
    <rPh sb="12" eb="13">
      <t>オサ</t>
    </rPh>
    <phoneticPr fontId="2"/>
  </si>
  <si>
    <t>(確認中)</t>
    <rPh sb="1" eb="4">
      <t>カクニンチュウ</t>
    </rPh>
    <phoneticPr fontId="2"/>
  </si>
  <si>
    <t>臨床情報の削除</t>
    <rPh sb="0" eb="4">
      <t>リンショウジョウホウ</t>
    </rPh>
    <rPh sb="5" eb="7">
      <t>サクジョ</t>
    </rPh>
    <phoneticPr fontId="2"/>
  </si>
  <si>
    <t>■要求事項
機能：オンライン資格確認システムのデータ管理機能
内容：特定条件(この場合は、死亡フラグがついている等)を満たした個人に紐づく臨床情報を一括で削除する機能を追加開発する。
■備考
技術作業班にてどのような改修方針にするか検討予定のため、要求事項はあくまで現状の想定案。
死亡フラグをどのように基盤側で取得し、患者個人に紐づけるかは継続検討中であるが、まずは個人に紐づく臨床情報を一括で削除する機能の改修を先行する。</t>
    <phoneticPr fontId="2"/>
  </si>
  <si>
    <t>104</t>
    <phoneticPr fontId="2"/>
  </si>
  <si>
    <t>104_01</t>
    <phoneticPr fontId="2"/>
  </si>
  <si>
    <t>患者サマリー</t>
    <rPh sb="0" eb="2">
      <t>カンジャ</t>
    </rPh>
    <phoneticPr fontId="2"/>
  </si>
  <si>
    <t>臨床情報一覧の表示期間の拡張に伴う患者サマリー出力改修</t>
    <rPh sb="0" eb="2">
      <t>リンショウ</t>
    </rPh>
    <rPh sb="2" eb="4">
      <t>ジョウホウ</t>
    </rPh>
    <rPh sb="4" eb="6">
      <t>イチラン</t>
    </rPh>
    <rPh sb="7" eb="9">
      <t>ヒョウジ</t>
    </rPh>
    <rPh sb="9" eb="11">
      <t>キカン</t>
    </rPh>
    <rPh sb="12" eb="14">
      <t>カクチョウ</t>
    </rPh>
    <rPh sb="15" eb="16">
      <t>トモナ</t>
    </rPh>
    <rPh sb="17" eb="19">
      <t>カンジャ</t>
    </rPh>
    <rPh sb="23" eb="25">
      <t>シュツリョク</t>
    </rPh>
    <rPh sb="25" eb="27">
      <t>カイシュウ</t>
    </rPh>
    <phoneticPr fontId="2"/>
  </si>
  <si>
    <t>2026/8/10 ACN黒川
(リリース希望時期綺麗化作業)リリース希望時期を「令和8年度秋」から「令和8年度9月」に変更。
2025/12/8 ACN 本田
令和8年度中に改修する全国プラットホーム系の案件と、令和8年度秋にリリースする電カル共有の案件の区別をつけるため、リリース希望時期を「令和8年度秋」に変更
2025/10/29 ACN木村
令和8年度案件台帳のレイアウト改善に伴い、起票済み令和8年度案件を新レイアウトに移行</t>
    <rPh sb="46" eb="47">
      <t>アキ</t>
    </rPh>
    <rPh sb="79" eb="81">
      <t>ホンダ</t>
    </rPh>
    <rPh sb="82" eb="84">
      <t>レイワ</t>
    </rPh>
    <rPh sb="85" eb="87">
      <t>ネンド</t>
    </rPh>
    <rPh sb="87" eb="88">
      <t>チュウ</t>
    </rPh>
    <rPh sb="89" eb="91">
      <t>カイシュウ</t>
    </rPh>
    <rPh sb="93" eb="95">
      <t>ゼンコク</t>
    </rPh>
    <rPh sb="102" eb="103">
      <t>ケイ</t>
    </rPh>
    <rPh sb="104" eb="106">
      <t>アンケン</t>
    </rPh>
    <rPh sb="108" eb="110">
      <t>レイワ</t>
    </rPh>
    <rPh sb="111" eb="113">
      <t>ネンド</t>
    </rPh>
    <rPh sb="113" eb="114">
      <t>アキ</t>
    </rPh>
    <rPh sb="121" eb="122">
      <t>デン</t>
    </rPh>
    <rPh sb="124" eb="126">
      <t>キョウユウ</t>
    </rPh>
    <rPh sb="127" eb="129">
      <t>アンケン</t>
    </rPh>
    <rPh sb="130" eb="132">
      <t>クベツ</t>
    </rPh>
    <rPh sb="143" eb="145">
      <t>キボウ</t>
    </rPh>
    <rPh sb="145" eb="147">
      <t>ジキ</t>
    </rPh>
    <rPh sb="149" eb="151">
      <t>レイワ</t>
    </rPh>
    <rPh sb="152" eb="154">
      <t>ネンド</t>
    </rPh>
    <rPh sb="154" eb="155">
      <t>アキ</t>
    </rPh>
    <rPh sb="157" eb="159">
      <t>ヘンコウ</t>
    </rPh>
    <rPh sb="175" eb="177">
      <t>キムラ</t>
    </rPh>
    <rPh sb="178" eb="180">
      <t>レイワ</t>
    </rPh>
    <rPh sb="181" eb="183">
      <t>ネンド</t>
    </rPh>
    <rPh sb="183" eb="187">
      <t>アンケンダイチョウ</t>
    </rPh>
    <rPh sb="193" eb="195">
      <t>カイゼン</t>
    </rPh>
    <rPh sb="196" eb="197">
      <t>トモナ</t>
    </rPh>
    <rPh sb="199" eb="202">
      <t>キヒョウズ</t>
    </rPh>
    <rPh sb="203" eb="205">
      <t>レイワ</t>
    </rPh>
    <rPh sb="206" eb="208">
      <t>ネンド</t>
    </rPh>
    <rPh sb="208" eb="210">
      <t>アンケン</t>
    </rPh>
    <rPh sb="211" eb="212">
      <t>シン</t>
    </rPh>
    <rPh sb="218" eb="220">
      <t>イコウ</t>
    </rPh>
    <phoneticPr fontId="2"/>
  </si>
  <si>
    <t>厚生労働省</t>
    <rPh sb="0" eb="5">
      <t>コウセイロウドウショウ</t>
    </rPh>
    <phoneticPr fontId="2"/>
  </si>
  <si>
    <t>基金宮脇</t>
    <rPh sb="0" eb="2">
      <t>キキン</t>
    </rPh>
    <rPh sb="2" eb="4">
      <t>ミヤワキ</t>
    </rPh>
    <phoneticPr fontId="2"/>
  </si>
  <si>
    <t>患者サマリー閲覧機能にて、閲覧対象期間を5年に期間を絞らずに情報の閲覧が可能となる。</t>
    <rPh sb="0" eb="2">
      <t>カンジャ</t>
    </rPh>
    <phoneticPr fontId="2"/>
  </si>
  <si>
    <t>■起票背景
案件ID022（臨床情報の閲覧期間の拡張）において、臨床情報一覧の表示期間を5年間から120年間に変更しているが、患者サマリの表示期間が5年間のままであるため表示期間に差異が生じている。
■目的
臨床情報一覧と患者サマリの表示期間を合わせて同じ内容が出力されるようにする。</t>
    <rPh sb="1" eb="5">
      <t>キヒョウハイケイ</t>
    </rPh>
    <rPh sb="32" eb="36">
      <t>リンショウジョウホウ</t>
    </rPh>
    <rPh sb="36" eb="38">
      <t>イチラン</t>
    </rPh>
    <rPh sb="39" eb="43">
      <t>ヒョウジキカン</t>
    </rPh>
    <rPh sb="45" eb="47">
      <t>ネンカン</t>
    </rPh>
    <rPh sb="52" eb="53">
      <t>ネン</t>
    </rPh>
    <rPh sb="53" eb="54">
      <t>アイダ</t>
    </rPh>
    <rPh sb="55" eb="57">
      <t>ヘンコウ</t>
    </rPh>
    <rPh sb="63" eb="65">
      <t>カンジャ</t>
    </rPh>
    <rPh sb="69" eb="73">
      <t>ヒョウジキカン</t>
    </rPh>
    <rPh sb="75" eb="76">
      <t>ネン</t>
    </rPh>
    <rPh sb="76" eb="77">
      <t>アイダ</t>
    </rPh>
    <rPh sb="85" eb="89">
      <t>ヒョウジキカン</t>
    </rPh>
    <rPh sb="90" eb="92">
      <t>サイ</t>
    </rPh>
    <rPh sb="93" eb="94">
      <t>ショウ</t>
    </rPh>
    <rPh sb="101" eb="103">
      <t>モクテキ</t>
    </rPh>
    <rPh sb="104" eb="108">
      <t>リンショウジョウホウ</t>
    </rPh>
    <rPh sb="108" eb="110">
      <t>イチラン</t>
    </rPh>
    <rPh sb="111" eb="113">
      <t>カンジャ</t>
    </rPh>
    <rPh sb="117" eb="121">
      <t>ヒョウジキカン</t>
    </rPh>
    <rPh sb="122" eb="123">
      <t>ア</t>
    </rPh>
    <rPh sb="126" eb="127">
      <t>オナ</t>
    </rPh>
    <rPh sb="128" eb="130">
      <t>ナイヨウ</t>
    </rPh>
    <rPh sb="131" eb="133">
      <t>シュツリョク</t>
    </rPh>
    <phoneticPr fontId="2"/>
  </si>
  <si>
    <t>患者がマイナポータルから過去の医師からのアドバイス等の情報を閲覧できる。</t>
    <rPh sb="0" eb="2">
      <t>カンジャ</t>
    </rPh>
    <rPh sb="12" eb="14">
      <t>カコ</t>
    </rPh>
    <rPh sb="15" eb="17">
      <t>イシ</t>
    </rPh>
    <rPh sb="30" eb="32">
      <t>エツラン</t>
    </rPh>
    <phoneticPr fontId="2"/>
  </si>
  <si>
    <t>令和8年度9月</t>
    <rPh sb="0" eb="2">
      <t>レイワ</t>
    </rPh>
    <rPh sb="3" eb="5">
      <t>ネンド</t>
    </rPh>
    <rPh sb="6" eb="7">
      <t>ガツ</t>
    </rPh>
    <phoneticPr fontId="2"/>
  </si>
  <si>
    <t>患者サマリーの閲覧</t>
    <rPh sb="0" eb="2">
      <t>カンジャ</t>
    </rPh>
    <rPh sb="7" eb="9">
      <t>エツラン</t>
    </rPh>
    <phoneticPr fontId="2"/>
  </si>
  <si>
    <t>■要求事項
患者サマリー出力における過去資格情報取得期間の5年制限を廃止することで、長期保存フラグが立っているアレルギー情報や感染症情報を患者サマリ－に抽出し、出力する。</t>
    <rPh sb="1" eb="5">
      <t>ヨウキュウジコウ</t>
    </rPh>
    <rPh sb="69" eb="71">
      <t>カンジャ</t>
    </rPh>
    <phoneticPr fontId="2"/>
  </si>
  <si>
    <t>112</t>
    <phoneticPr fontId="2"/>
  </si>
  <si>
    <t>112_01</t>
    <phoneticPr fontId="2"/>
  </si>
  <si>
    <t>その他</t>
    <phoneticPr fontId="2"/>
  </si>
  <si>
    <t>医療機関等における本番環境から接続検証環境へ接続できる仕組みの構築</t>
    <phoneticPr fontId="2"/>
  </si>
  <si>
    <t>2025/12/8 ACN本田
12/1 開発課題検討会にて、本案件のリリースは令和8年7月であると基金より共有いただいたため、リリース希望時期を「令和8年度7月」に更新。
2025/10/29 ACN木村
令和8年度案件台帳のレイアウト改善に伴い、起票済み令和8年度案件を新レイアウトに移行</t>
    <rPh sb="13" eb="15">
      <t>ホンダ</t>
    </rPh>
    <rPh sb="21" eb="23">
      <t>カイハツ</t>
    </rPh>
    <rPh sb="23" eb="25">
      <t>カダイ</t>
    </rPh>
    <rPh sb="25" eb="28">
      <t>ケントウカイ</t>
    </rPh>
    <rPh sb="31" eb="32">
      <t>ホン</t>
    </rPh>
    <rPh sb="32" eb="34">
      <t>アンケン</t>
    </rPh>
    <rPh sb="40" eb="42">
      <t>レイワ</t>
    </rPh>
    <rPh sb="43" eb="44">
      <t>ネン</t>
    </rPh>
    <rPh sb="45" eb="46">
      <t>ガツ</t>
    </rPh>
    <rPh sb="50" eb="52">
      <t>キキン</t>
    </rPh>
    <rPh sb="54" eb="56">
      <t>キョウユウ</t>
    </rPh>
    <rPh sb="68" eb="70">
      <t>キボウ</t>
    </rPh>
    <rPh sb="70" eb="72">
      <t>ジキ</t>
    </rPh>
    <rPh sb="74" eb="76">
      <t>レイワ</t>
    </rPh>
    <rPh sb="77" eb="78">
      <t>ネン</t>
    </rPh>
    <rPh sb="78" eb="79">
      <t>ド</t>
    </rPh>
    <rPh sb="80" eb="81">
      <t>ガツ</t>
    </rPh>
    <rPh sb="83" eb="85">
      <t>コウシン</t>
    </rPh>
    <rPh sb="102" eb="104">
      <t>キムラ</t>
    </rPh>
    <rPh sb="105" eb="107">
      <t>レイワ</t>
    </rPh>
    <rPh sb="108" eb="110">
      <t>ネンド</t>
    </rPh>
    <rPh sb="110" eb="114">
      <t>アンケンダイチョウ</t>
    </rPh>
    <rPh sb="120" eb="122">
      <t>カイゼン</t>
    </rPh>
    <rPh sb="123" eb="124">
      <t>トモナ</t>
    </rPh>
    <rPh sb="126" eb="129">
      <t>キヒョウズ</t>
    </rPh>
    <rPh sb="130" eb="132">
      <t>レイワ</t>
    </rPh>
    <rPh sb="133" eb="135">
      <t>ネンド</t>
    </rPh>
    <rPh sb="135" eb="137">
      <t>アンケン</t>
    </rPh>
    <rPh sb="138" eb="139">
      <t>シン</t>
    </rPh>
    <rPh sb="145" eb="147">
      <t>イコウ</t>
    </rPh>
    <phoneticPr fontId="2"/>
  </si>
  <si>
    <t>医療機関におけるテスト実施方法を改善するために、接続先を切り替えずにデータ等に応じて自動で接続先を差配する</t>
  </si>
  <si>
    <t>■起票背景
モデル事業より、以下の要望を受領した。今後、電子カルテ情報共有サービス・電子処方箋について医療機関への導入推進していくためにも、​要望を踏まえ、医療機関で接続先を切り替えずにテストできる方法を検討することとなった。
＜モデル事業からの要望＞
オン資本番運用を開始している医療機関等がテストするには、患者が来院しない営業時間外に接続先を接続検証環境に切替えてテストする必要がある。また病院では特に、外来の営業時間外に接続検証環境でテストしたとしても、救急や入院患者対応が発生するため、本番環境に送信するはずのデータが接続検証環境に送信されるなど、予期しない事象が発生する可能性がある。​そのため、接続先を切り替えをせずに本番環境に接続しながらテストデータも登録できるようにしてほしい。​
■目的
接続先を切り替えをせずに本番環境に接続しながらテストデータも登録できるようにし、運用テストおよびシステム導入の促進を図る
■備考
基金より依頼を受け見積もりのために起票。
要求事項及び実施要否は未確定</t>
    <phoneticPr fontId="2"/>
  </si>
  <si>
    <t>医療機関で接続先を切り替えずにテストできる</t>
    <phoneticPr fontId="2"/>
  </si>
  <si>
    <t>要確認</t>
    <rPh sb="0" eb="1">
      <t>ヨウ</t>
    </rPh>
    <rPh sb="1" eb="3">
      <t>カクニン</t>
    </rPh>
    <phoneticPr fontId="2"/>
  </si>
  <si>
    <t>　</t>
    <phoneticPr fontId="2"/>
  </si>
  <si>
    <t>令和8年度7月</t>
    <rPh sb="0" eb="2">
      <t>レイワ</t>
    </rPh>
    <rPh sb="3" eb="4">
      <t>ネン</t>
    </rPh>
    <rPh sb="4" eb="5">
      <t>ド</t>
    </rPh>
    <rPh sb="6" eb="7">
      <t>ガツ</t>
    </rPh>
    <phoneticPr fontId="2"/>
  </si>
  <si>
    <t>運用テスト</t>
    <rPh sb="0" eb="2">
      <t>ウンヨウ</t>
    </rPh>
    <phoneticPr fontId="2"/>
  </si>
  <si>
    <t>対応案A：電子カルテ/レセコンで登録データをもとに接続先を自動差配する方法
　●内容：
　・資格確認端末では本番用・検証用の連携フォルダと連携アプリケーションを並行動作させる。​
　・電子カルテ/レセコンでデータに応じて接続先を差配できるようにする。​
　・差配方法は、以下のいづれかを想定。​
　　①テスト用保険者番号​
　　②医療機関の患者ID
　●要求事項①
　　中央基盤(オン資・電処・電カル)：
　　・連携アプリケーションの環境を構築するインストーラーを新規で開発する。​
　●備考
　　　・連携アプリケーションを2つ動作させたときに資格確認端末のスペックが足りるかどうか整理する必要がある。　
　　　・医療機関(レセコン/電カル)は、電子カルテでテストデータを差配する仕組みを実装する必要がある。
　　　・ベンダに新たな仕組みを実装してもらう必要があるため、技術解説書の更新が必要となる。
　　　・外部インターフェイス仕様書やテスト関連のドキュメントに更新が必要になる。　
対応案B：外部IF仕様書のXMLレイアウトの接続先フラグをもとに差配する方法
　●内容：
　　医療機関側が作成するXMLに接続先に関するフラグを追加し、連携アプリケーションで接続先を差配する。
　●要求事項①
　　中央基盤(オン資・電処・電カル)：
　　連携アプリケーションで接続先のフラグに応じて差配できるよう更新する
　●備考
　　　・外部IFのXMLレイアウトの改修が必要　
　　　・医療機関(レセコン/電カル)は、電子カルテシステムで外部IFのXMLレイアウトにフラグを追加する
　　　・外部インターフェイス仕様書やテスト関連のドキュメントに更新が必要
■備考
基金より依頼を受け見積もりのために起票。
要求事項及び実施要否は未確定</t>
    <phoneticPr fontId="2"/>
  </si>
  <si>
    <t>112_02</t>
    <phoneticPr fontId="2"/>
  </si>
  <si>
    <t>2025/12/8 ACN本田
12/1 開発課題検討会にて、本案件のリリースは令和8年7月であると基金より共有いただいたため、リリース希望時期を「令和8年度7月」に更新</t>
    <rPh sb="29" eb="31">
      <t>ケンサク</t>
    </rPh>
    <rPh sb="31" eb="33">
      <t>ケッカ</t>
    </rPh>
    <rPh sb="33" eb="35">
      <t>イチラン</t>
    </rPh>
    <rPh sb="40" eb="42">
      <t>ガメン</t>
    </rPh>
    <rPh sb="42" eb="43">
      <t>ジョウ</t>
    </rPh>
    <rPh sb="45" eb="47">
      <t>ヒョウジ</t>
    </rPh>
    <rPh sb="78" eb="79">
      <t>ド</t>
    </rPh>
    <phoneticPr fontId="2"/>
  </si>
  <si>
    <t>医療機関におけるテスト実施方法を改善するために、接続先を切り替えずにデータ等に応じて自動で接続先を差配する</t>
    <phoneticPr fontId="2"/>
  </si>
  <si>
    <t>■起票背景
モデル事業より、以下の要望を受領した。今後、電子カルテ情報共有サービス・電子処方箋について医療機関への導入推進していくためにも、​要望を踏まえ、医療機関で接続先を切り替えずにテストできる方法を検討することとなった。
＜モデル事業からの要望＞
オン資本番運用を開始している医療機関等がテストするには、患者が来院しない営業時間外に接続先を接続検証環境に切替えてテストする必要がある。また病院では特に、外来の営業時間外に接続検証環境でテストしたとしても、救急や入院患者対応が発生するため、本番環境に送信するはずのデータが接続検証環境に送信されるなど、予期しない事象が発生する可能性がある。​そのため、接続先を切り替えをせずに本番環境に接続しながらテストデータも登録できるようにしてほしい。​
■目的
接続先を切り替えをせずに本番環境に接続しながらテストデータも登録できるようにし、運用テストおよびシステム導入の促進を図る
■備考
基金より依頼を受け見積もりのために起票。
要求事項及び実施要否は未確定</t>
    <rPh sb="9" eb="11">
      <t>ジギョウ</t>
    </rPh>
    <rPh sb="14" eb="16">
      <t>イカ</t>
    </rPh>
    <rPh sb="17" eb="19">
      <t>ヨウボウ</t>
    </rPh>
    <rPh sb="20" eb="22">
      <t>ジュリョウ</t>
    </rPh>
    <rPh sb="118" eb="120">
      <t>ジギョウ</t>
    </rPh>
    <rPh sb="123" eb="125">
      <t>ヨウボウ</t>
    </rPh>
    <phoneticPr fontId="2"/>
  </si>
  <si>
    <t>対応案A：電子カルテ/レセコンで登録データをもとに接続先を自動差配する方法
　●内容：
　・資格確認端末では本番用・検証用の連携フォルダと連携アプリケーションを並行動作させる。​
　・電子カルテ/レセコンでデータに応じて接続先を差配できるようにする。​
　・差配方法は、以下のいづれかを想定。​
　　①テスト用保険者番号​
　　②医療機関の患者ID
　●要求事項①
　　中央基盤(オン資・電処・電カル)：
　　・連携アプリケーションの環境を構築するインストーラーを新規で開発する。​
　●備考
　　　・連携アプリケーションを2つ動作させたときに資格確認端末のスペックが足りるかどうか整理する必要がある。　
　　　・医療機関(レセコン/電カル)は、電子カルテでテストデータを差配する仕組みを実装する必要がある。
　　　・ベンダに新たな仕組みを実装してもらう必要があるため、技術解説書の更新が必要となる。
　　　・外部インターフェイス仕様書やテスト関連のドキュメントに更新が必要になる。　
対応案B：外部IF仕様書のXMLレイアウトの接続先フラグをもとに差配する方法
　●内容：
　　医療機関側が作成するXMLに接続先に関するフラグを追加し、連携アプリケーションで接続先を差配する。
　●要求事項①
　　中央基盤(オン資・電処・電カル)：
　　連携アプリケーションで接続先のフラグに応じて差配できるよう更新する
　●備考
　　　・外部IFのXMLレイアウトの改修が必要　
　　　・医療機関(レセコン/電カル)は、電子カルテシステムで外部IFのXMLレイアウトにフラグを追加する
　　　・外部インターフェイス仕様書やテスト関連のドキュメントに更新が必要
■備考
基金より依頼を受け見積もりのために起票。
要求事項及び実施要否は未確定</t>
    <rPh sb="0" eb="2">
      <t>タイオウ</t>
    </rPh>
    <rPh sb="2" eb="3">
      <t>アン</t>
    </rPh>
    <rPh sb="40" eb="42">
      <t>ナイヨウ</t>
    </rPh>
    <rPh sb="222" eb="224">
      <t>ヨウキュウ</t>
    </rPh>
    <rPh sb="224" eb="226">
      <t>ジコウ</t>
    </rPh>
    <rPh sb="230" eb="234">
      <t>チュウオウキバン</t>
    </rPh>
    <rPh sb="237" eb="238">
      <t>シ</t>
    </rPh>
    <rPh sb="289" eb="291">
      <t>ビコウ</t>
    </rPh>
    <rPh sb="352" eb="354">
      <t>イリョウ</t>
    </rPh>
    <rPh sb="354" eb="356">
      <t>キカン</t>
    </rPh>
    <rPh sb="362" eb="363">
      <t>デン</t>
    </rPh>
    <rPh sb="519" eb="522">
      <t>タイオウアン</t>
    </rPh>
    <phoneticPr fontId="2"/>
  </si>
  <si>
    <t>115</t>
    <phoneticPr fontId="2"/>
  </si>
  <si>
    <t>115_01</t>
    <phoneticPr fontId="2"/>
  </si>
  <si>
    <t>健診文書</t>
    <rPh sb="0" eb="2">
      <t>ケンシン</t>
    </rPh>
    <rPh sb="2" eb="4">
      <t>ブンショ</t>
    </rPh>
    <phoneticPr fontId="2"/>
  </si>
  <si>
    <t>健診のXML・マイナポ表示における「健診種別」の表示追加</t>
    <rPh sb="0" eb="2">
      <t>ケンシン</t>
    </rPh>
    <rPh sb="11" eb="13">
      <t>ヒョウジ</t>
    </rPh>
    <rPh sb="18" eb="20">
      <t>ケンシン</t>
    </rPh>
    <rPh sb="20" eb="22">
      <t>シュベツ</t>
    </rPh>
    <rPh sb="24" eb="26">
      <t>ヒョウジ</t>
    </rPh>
    <rPh sb="26" eb="28">
      <t>ツイカ</t>
    </rPh>
    <phoneticPr fontId="2"/>
  </si>
  <si>
    <t>2025/12/8 ACN本田
12/1開発課題検討会にて取り下げを報告したため、実装判断・リリース希望時期を取り下げに変更。
取り下げ理由は備考(W列)を参照
2025/10/29 ACN木村
令和8年度案件台帳のレイアウト改善に伴い、起票済み令和8年度案件を新レイアウトに移行</t>
    <rPh sb="78" eb="80">
      <t>サンショウ</t>
    </rPh>
    <rPh sb="96" eb="98">
      <t>キムラ</t>
    </rPh>
    <rPh sb="99" eb="101">
      <t>レイワ</t>
    </rPh>
    <rPh sb="102" eb="104">
      <t>ネンド</t>
    </rPh>
    <rPh sb="104" eb="108">
      <t>アンケンダイチョウ</t>
    </rPh>
    <rPh sb="114" eb="116">
      <t>カイゼン</t>
    </rPh>
    <rPh sb="117" eb="118">
      <t>トモナ</t>
    </rPh>
    <rPh sb="120" eb="123">
      <t>キヒョウズ</t>
    </rPh>
    <rPh sb="124" eb="126">
      <t>レイワ</t>
    </rPh>
    <rPh sb="127" eb="129">
      <t>ネンド</t>
    </rPh>
    <rPh sb="129" eb="131">
      <t>アンケン</t>
    </rPh>
    <rPh sb="132" eb="133">
      <t>シン</t>
    </rPh>
    <rPh sb="139" eb="141">
      <t>イコウ</t>
    </rPh>
    <phoneticPr fontId="2"/>
  </si>
  <si>
    <t>健診種別をXML・PDF帳票・マイナポータルにて表示するレイアウト変更する</t>
    <rPh sb="33" eb="35">
      <t>ヘンコウ</t>
    </rPh>
    <phoneticPr fontId="2"/>
  </si>
  <si>
    <t>■起票背景
電子カルテ情報共有サービスでは、健診種別を報告区分コードやプログラムサービスコード等で明示した形でデータ登録する仕様となっている。一方で、現行の健診情報の閲覧においては、これらの健診種別を確認することはできない。
■目的
健診結果帳票を見て、自分自身が何の健診を受診したのかがわかるようになる。</t>
    <rPh sb="1" eb="3">
      <t>キヒョウ</t>
    </rPh>
    <rPh sb="3" eb="5">
      <t>ハイケイ</t>
    </rPh>
    <rPh sb="115" eb="117">
      <t>モクテキ</t>
    </rPh>
    <phoneticPr fontId="2"/>
  </si>
  <si>
    <t>健診結果帳票を見て、自分自身が何の健診を受診したのかがわかるようになる。</t>
    <phoneticPr fontId="2"/>
  </si>
  <si>
    <t>取り下げ理由：自分自身が何の健診を受診したのか把握するニーズは極めて低いと判断したため</t>
    <rPh sb="0" eb="1">
      <t>ト</t>
    </rPh>
    <rPh sb="2" eb="3">
      <t>サ</t>
    </rPh>
    <rPh sb="4" eb="6">
      <t>リユウ</t>
    </rPh>
    <phoneticPr fontId="2"/>
  </si>
  <si>
    <t>■要求事項
機能：健診情報閲覧結果
内容：健診情報閲覧結果(医療機関向け、マイナポータル向け)のXMLに、健診種別のカラムを追加する。
■備考
どの健診かが患者も医療機関も分かったほうがいいとは思っているが、優先度は低く、各健診制度所管への確認等も必要なため、実施したとしても３月リリースとする。</t>
    <rPh sb="1" eb="5">
      <t>ヨウキュウジコウ</t>
    </rPh>
    <rPh sb="70" eb="72">
      <t>ビコウ</t>
    </rPh>
    <phoneticPr fontId="2"/>
  </si>
  <si>
    <t>115_02</t>
    <phoneticPr fontId="2"/>
  </si>
  <si>
    <t>■要求事項
機能：健診情報閲覧結果
内容：健診情報閲覧結果(医療機関向け、マイナポータル向け)のXMLに、健診種別のカラムを追加する。
■備考
どの健診かが患者も医療機関も分かったほうがいいとは思っているが、優先度は低く、各健診制度所管への確認等も必要なため、実施したとしても３月リリースとする。</t>
    <phoneticPr fontId="2"/>
  </si>
  <si>
    <t>140</t>
    <phoneticPr fontId="2"/>
  </si>
  <si>
    <t>140_01</t>
    <phoneticPr fontId="2"/>
  </si>
  <si>
    <t>文書情報の添付情報登録漏れを紹介先医療機関で検知する仕組みの追加</t>
    <rPh sb="0" eb="4">
      <t>ブンショジョウホウ</t>
    </rPh>
    <rPh sb="5" eb="9">
      <t>テンプジョウホウ</t>
    </rPh>
    <rPh sb="9" eb="12">
      <t>トウロクモ</t>
    </rPh>
    <rPh sb="14" eb="17">
      <t>ショウカイサキ</t>
    </rPh>
    <rPh sb="17" eb="21">
      <t>イリョウキカン</t>
    </rPh>
    <rPh sb="22" eb="24">
      <t>ケンチ</t>
    </rPh>
    <rPh sb="26" eb="28">
      <t>シク</t>
    </rPh>
    <rPh sb="30" eb="32">
      <t>ツイカ</t>
    </rPh>
    <phoneticPr fontId="2"/>
  </si>
  <si>
    <t>2025/12/8ACN本田
取り下げ理由を備考(w列)に追記
2025/12/08
開発課題検討会(11/25)の合意内容として取り下げ
2025/11/25 基金山本貴
開発課題検討会(11/25)の合意内容として起票</t>
    <rPh sb="12" eb="14">
      <t>ホンダ</t>
    </rPh>
    <rPh sb="15" eb="16">
      <t>ト</t>
    </rPh>
    <rPh sb="17" eb="18">
      <t>サ</t>
    </rPh>
    <rPh sb="19" eb="21">
      <t>リユウ</t>
    </rPh>
    <rPh sb="22" eb="24">
      <t>ビコウ</t>
    </rPh>
    <rPh sb="26" eb="27">
      <t>レツ</t>
    </rPh>
    <rPh sb="29" eb="31">
      <t>ツイキ</t>
    </rPh>
    <rPh sb="66" eb="67">
      <t>ト</t>
    </rPh>
    <rPh sb="68" eb="69">
      <t>サ</t>
    </rPh>
    <rPh sb="82" eb="84">
      <t>キキン</t>
    </rPh>
    <rPh sb="84" eb="87">
      <t>ヤマモトタカ</t>
    </rPh>
    <rPh sb="88" eb="92">
      <t>カイハツカダイ</t>
    </rPh>
    <rPh sb="92" eb="95">
      <t>ケントウカイ</t>
    </rPh>
    <rPh sb="103" eb="105">
      <t>ゴウイ</t>
    </rPh>
    <rPh sb="105" eb="107">
      <t>ナイヨウ</t>
    </rPh>
    <rPh sb="110" eb="112">
      <t>キヒョウ</t>
    </rPh>
    <phoneticPr fontId="2"/>
  </si>
  <si>
    <t>基金山本貴</t>
    <rPh sb="0" eb="2">
      <t>キキン</t>
    </rPh>
    <rPh sb="2" eb="4">
      <t>ヤマモト</t>
    </rPh>
    <rPh sb="4" eb="5">
      <t>タカ</t>
    </rPh>
    <phoneticPr fontId="2"/>
  </si>
  <si>
    <t>自施設宛文書情報一覧取得機能で得られる文書情報ステータスに「添付未登録」等を含める</t>
    <rPh sb="0" eb="4">
      <t>ジシセツアテ</t>
    </rPh>
    <rPh sb="4" eb="8">
      <t>ブンショジョウホウ</t>
    </rPh>
    <rPh sb="8" eb="10">
      <t>イチラン</t>
    </rPh>
    <rPh sb="10" eb="12">
      <t>シュトク</t>
    </rPh>
    <rPh sb="12" eb="14">
      <t>キノウ</t>
    </rPh>
    <rPh sb="15" eb="16">
      <t>エ</t>
    </rPh>
    <rPh sb="19" eb="21">
      <t>ブンショ</t>
    </rPh>
    <rPh sb="21" eb="23">
      <t>ジョウホウ</t>
    </rPh>
    <rPh sb="30" eb="35">
      <t>テンプミトウロク</t>
    </rPh>
    <rPh sb="36" eb="37">
      <t>ナド</t>
    </rPh>
    <rPh sb="38" eb="39">
      <t>フク</t>
    </rPh>
    <phoneticPr fontId="2"/>
  </si>
  <si>
    <t>■起票背景
紹介元医療機関が紹介状を登録する際、添付情報登録が（無害化処理エラー等、何らかのの理由により）失敗すると、紹介元医療機関は文書情報を登録したつもりだが、紹介先医療機関では自施設宛て文書情報一覧取得要求の結果に自施設宛当該文書の情報が載らないため、文書情報の存在を検知できず、かつ文書情報を取得できない事象が発生する。
改善案として、「未取得」以外の文書情報ステータスを持つ文書（e.g. 添付情報が登録されていない「添付未登録」や、無害化処理に失敗した「無害化処理エラー」等）についても、自施設宛文書情報一覧要求でステータスを確認可能としたい。
■目的
紹介先医療機関が、自施設宛文書情報一覧取得機能により、添付情報未登録の文書等の存在を確認できるようになる。
■備考
2025/10 水府病院にて添付未登録の文書が連携できないONS報告あり。（INC0033310）
本機能は同種のトラブルが起きた際に、早期の原因究明に役立つと思われる。</t>
    <rPh sb="1" eb="5">
      <t>キヒョウハイケイ</t>
    </rPh>
    <rPh sb="6" eb="9">
      <t>ショウカイモト</t>
    </rPh>
    <rPh sb="9" eb="13">
      <t>イリョウキカン</t>
    </rPh>
    <rPh sb="14" eb="17">
      <t>ショウカイジョウ</t>
    </rPh>
    <rPh sb="18" eb="20">
      <t>トウロク</t>
    </rPh>
    <rPh sb="22" eb="23">
      <t>サイ</t>
    </rPh>
    <rPh sb="24" eb="28">
      <t>テンプジョウホウ</t>
    </rPh>
    <rPh sb="28" eb="30">
      <t>トウロク</t>
    </rPh>
    <rPh sb="32" eb="35">
      <t>ムガイカ</t>
    </rPh>
    <rPh sb="35" eb="37">
      <t>ショリ</t>
    </rPh>
    <rPh sb="40" eb="41">
      <t>ナド</t>
    </rPh>
    <rPh sb="42" eb="43">
      <t>ナン</t>
    </rPh>
    <rPh sb="47" eb="49">
      <t>リユウ</t>
    </rPh>
    <rPh sb="53" eb="55">
      <t>シッパイ</t>
    </rPh>
    <rPh sb="62" eb="66">
      <t>イリョウキカン</t>
    </rPh>
    <rPh sb="67" eb="71">
      <t>ブンショジョウホウ</t>
    </rPh>
    <rPh sb="72" eb="74">
      <t>トウロク</t>
    </rPh>
    <rPh sb="82" eb="85">
      <t>ショウカイサキ</t>
    </rPh>
    <rPh sb="85" eb="87">
      <t>イリョウ</t>
    </rPh>
    <rPh sb="87" eb="89">
      <t>キカン</t>
    </rPh>
    <rPh sb="91" eb="94">
      <t>ジシセツ</t>
    </rPh>
    <rPh sb="94" eb="95">
      <t>ア</t>
    </rPh>
    <rPh sb="96" eb="100">
      <t>ブンショジョウホウ</t>
    </rPh>
    <rPh sb="100" eb="102">
      <t>イチラン</t>
    </rPh>
    <rPh sb="104" eb="106">
      <t>ヨウキュウ</t>
    </rPh>
    <rPh sb="107" eb="109">
      <t>ケッカ</t>
    </rPh>
    <rPh sb="110" eb="113">
      <t>ジシセツ</t>
    </rPh>
    <rPh sb="113" eb="114">
      <t>アテ</t>
    </rPh>
    <rPh sb="114" eb="116">
      <t>トウガイ</t>
    </rPh>
    <rPh sb="116" eb="118">
      <t>ブンショ</t>
    </rPh>
    <rPh sb="119" eb="121">
      <t>ジョウホウ</t>
    </rPh>
    <rPh sb="122" eb="123">
      <t>ノ</t>
    </rPh>
    <rPh sb="129" eb="133">
      <t>ブンショジョウホウ</t>
    </rPh>
    <rPh sb="134" eb="136">
      <t>ソンザイ</t>
    </rPh>
    <rPh sb="137" eb="139">
      <t>ケンチ</t>
    </rPh>
    <rPh sb="145" eb="149">
      <t>ブンショジョウホウ</t>
    </rPh>
    <rPh sb="150" eb="152">
      <t>シュトク</t>
    </rPh>
    <rPh sb="156" eb="158">
      <t>ジショウ</t>
    </rPh>
    <rPh sb="159" eb="161">
      <t>ハッセイ</t>
    </rPh>
    <rPh sb="165" eb="168">
      <t>カイゼンアン</t>
    </rPh>
    <rPh sb="173" eb="176">
      <t>ミシュトク</t>
    </rPh>
    <rPh sb="177" eb="179">
      <t>イガイ</t>
    </rPh>
    <rPh sb="180" eb="182">
      <t>ブンショ</t>
    </rPh>
    <rPh sb="182" eb="184">
      <t>ジョウホウ</t>
    </rPh>
    <rPh sb="190" eb="191">
      <t>モ</t>
    </rPh>
    <rPh sb="192" eb="194">
      <t>ブンショ</t>
    </rPh>
    <rPh sb="200" eb="204">
      <t>テンプジョウホウ</t>
    </rPh>
    <rPh sb="205" eb="207">
      <t>トウロク</t>
    </rPh>
    <rPh sb="214" eb="219">
      <t>テンプミトウロク</t>
    </rPh>
    <rPh sb="222" eb="227">
      <t>ムガイカショリ</t>
    </rPh>
    <rPh sb="228" eb="230">
      <t>シッパイ</t>
    </rPh>
    <rPh sb="233" eb="238">
      <t>ムガイカショリ</t>
    </rPh>
    <rPh sb="242" eb="243">
      <t>ナド</t>
    </rPh>
    <rPh sb="250" eb="253">
      <t>ジシセツ</t>
    </rPh>
    <rPh sb="253" eb="254">
      <t>ア</t>
    </rPh>
    <rPh sb="254" eb="258">
      <t>ブンショジョウホウ</t>
    </rPh>
    <rPh sb="258" eb="262">
      <t>イチランヨウキュウ</t>
    </rPh>
    <rPh sb="269" eb="271">
      <t>カクニン</t>
    </rPh>
    <rPh sb="271" eb="273">
      <t>カノウ</t>
    </rPh>
    <rPh sb="281" eb="283">
      <t>モクテキ</t>
    </rPh>
    <rPh sb="284" eb="287">
      <t>ショウカイサキ</t>
    </rPh>
    <rPh sb="287" eb="291">
      <t>イリョウキカン</t>
    </rPh>
    <rPh sb="293" eb="297">
      <t>ジシセツアテ</t>
    </rPh>
    <rPh sb="297" eb="301">
      <t>ブンショジョウホウ</t>
    </rPh>
    <rPh sb="305" eb="307">
      <t>キノウ</t>
    </rPh>
    <rPh sb="311" eb="315">
      <t>テンプジョウホウ</t>
    </rPh>
    <rPh sb="315" eb="318">
      <t>ミトウロク</t>
    </rPh>
    <rPh sb="319" eb="321">
      <t>ブンショ</t>
    </rPh>
    <rPh sb="321" eb="322">
      <t>ナド</t>
    </rPh>
    <rPh sb="323" eb="325">
      <t>ソンザイ</t>
    </rPh>
    <rPh sb="326" eb="328">
      <t>カクニン</t>
    </rPh>
    <rPh sb="340" eb="342">
      <t>ビコウ</t>
    </rPh>
    <rPh sb="351" eb="355">
      <t>スイフビョウイン</t>
    </rPh>
    <rPh sb="357" eb="362">
      <t>テンプミトウロク</t>
    </rPh>
    <rPh sb="363" eb="365">
      <t>ブンショ</t>
    </rPh>
    <rPh sb="366" eb="368">
      <t>レンケイ</t>
    </rPh>
    <rPh sb="375" eb="377">
      <t>ホウコク</t>
    </rPh>
    <rPh sb="393" eb="396">
      <t>ホンキノウ</t>
    </rPh>
    <rPh sb="397" eb="399">
      <t>ドウシュ</t>
    </rPh>
    <rPh sb="411" eb="413">
      <t>ソウキ</t>
    </rPh>
    <rPh sb="414" eb="418">
      <t>ゲンインキュウメイ</t>
    </rPh>
    <rPh sb="419" eb="421">
      <t>ヤクダ</t>
    </rPh>
    <rPh sb="423" eb="424">
      <t>オモ</t>
    </rPh>
    <phoneticPr fontId="2"/>
  </si>
  <si>
    <t>紹介先医療機関が、自施設宛文書情報一覧取得要求により、「未取得」以外の文書情報ステータスを持つ文書（e.g. 添付情報が登録されていない「添付ファイル未登録」や、無害化処理に失敗した「無害化処理エラー」等）について存在を確認可能とすることで、自身の文書の所在・ステータスについて紹介先医療機関へ正しく共有できる。</t>
    <rPh sb="19" eb="21">
      <t>シュトク</t>
    </rPh>
    <rPh sb="37" eb="39">
      <t>ジョウホウ</t>
    </rPh>
    <rPh sb="112" eb="114">
      <t>カノウ</t>
    </rPh>
    <rPh sb="121" eb="123">
      <t>ジシン</t>
    </rPh>
    <rPh sb="124" eb="126">
      <t>ブンショ</t>
    </rPh>
    <rPh sb="127" eb="129">
      <t>ショザイ</t>
    </rPh>
    <rPh sb="139" eb="142">
      <t>ショウカイサキ</t>
    </rPh>
    <rPh sb="142" eb="146">
      <t>イリョウキカン</t>
    </rPh>
    <rPh sb="147" eb="148">
      <t>タダ</t>
    </rPh>
    <rPh sb="150" eb="152">
      <t>キョウユウ</t>
    </rPh>
    <phoneticPr fontId="2"/>
  </si>
  <si>
    <t>取り下げ理由：紹介元医療機関の実装ミスの対応のために紹介先医療機関で本来は必要なかった確認業務が追加になるため</t>
    <rPh sb="0" eb="1">
      <t>ト</t>
    </rPh>
    <rPh sb="2" eb="3">
      <t>サ</t>
    </rPh>
    <rPh sb="4" eb="6">
      <t>リユウ</t>
    </rPh>
    <phoneticPr fontId="2"/>
  </si>
  <si>
    <t>文書情報一覧</t>
    <rPh sb="0" eb="4">
      <t>ブンショジョウホウ</t>
    </rPh>
    <rPh sb="4" eb="6">
      <t>イチラン</t>
    </rPh>
    <phoneticPr fontId="2"/>
  </si>
  <si>
    <t>■要求事項
機能：自施設宛文書情報一覧取得機能
内容：自施設宛文書情報一覧取得結果で確認可能な文書に、「未取得」以外のステータス（e.g. 「添付ファイル未登録」「無害化処理エラー」等）を持つものについても返却対象として含める。
■備考
取得可能な文書情報ステータスについて、どこまでを対象とするかは別途検討とする。
【文書情報ステータス(CISCD002)】
00: 添付ファイル未登録
01: 無害化処理中
09: 無害化処理エラー
10: 未取得
20: 取得済
90: 取消</t>
    <rPh sb="1" eb="5">
      <t>ヨウキュウジコウ</t>
    </rPh>
    <rPh sb="6" eb="8">
      <t>キノウ</t>
    </rPh>
    <rPh sb="9" eb="12">
      <t>ジシセツ</t>
    </rPh>
    <rPh sb="12" eb="13">
      <t>アテ</t>
    </rPh>
    <rPh sb="13" eb="15">
      <t>ブンショ</t>
    </rPh>
    <rPh sb="15" eb="17">
      <t>ジョウホウ</t>
    </rPh>
    <rPh sb="17" eb="19">
      <t>イチラン</t>
    </rPh>
    <rPh sb="19" eb="23">
      <t>シュトクキノウ</t>
    </rPh>
    <rPh sb="24" eb="26">
      <t>ナイヨウ</t>
    </rPh>
    <rPh sb="27" eb="28">
      <t>ジ</t>
    </rPh>
    <rPh sb="28" eb="30">
      <t>シセツ</t>
    </rPh>
    <rPh sb="30" eb="31">
      <t>アテ</t>
    </rPh>
    <rPh sb="31" eb="33">
      <t>ブンショ</t>
    </rPh>
    <rPh sb="33" eb="35">
      <t>ジョウホウ</t>
    </rPh>
    <rPh sb="35" eb="37">
      <t>イチラン</t>
    </rPh>
    <rPh sb="37" eb="39">
      <t>シュトク</t>
    </rPh>
    <rPh sb="39" eb="41">
      <t>ケッカ</t>
    </rPh>
    <rPh sb="42" eb="46">
      <t>カクニンカノウ</t>
    </rPh>
    <rPh sb="47" eb="49">
      <t>ブンショ</t>
    </rPh>
    <rPh sb="52" eb="55">
      <t>ミシュトク</t>
    </rPh>
    <rPh sb="56" eb="58">
      <t>イガイ</t>
    </rPh>
    <rPh sb="71" eb="73">
      <t>テンプ</t>
    </rPh>
    <rPh sb="77" eb="80">
      <t>ミトウロク</t>
    </rPh>
    <rPh sb="82" eb="87">
      <t>ムガイカショリ</t>
    </rPh>
    <rPh sb="91" eb="92">
      <t>ナド</t>
    </rPh>
    <rPh sb="94" eb="95">
      <t>モ</t>
    </rPh>
    <rPh sb="103" eb="105">
      <t>ヘンキャク</t>
    </rPh>
    <rPh sb="105" eb="107">
      <t>タイショウ</t>
    </rPh>
    <rPh sb="110" eb="111">
      <t>フク</t>
    </rPh>
    <rPh sb="117" eb="119">
      <t>ビコウ</t>
    </rPh>
    <rPh sb="120" eb="124">
      <t>シュトクカノウ</t>
    </rPh>
    <rPh sb="125" eb="127">
      <t>ブンショ</t>
    </rPh>
    <rPh sb="127" eb="129">
      <t>ジョウホウ</t>
    </rPh>
    <rPh sb="144" eb="146">
      <t>タイショウ</t>
    </rPh>
    <rPh sb="151" eb="153">
      <t>ベット</t>
    </rPh>
    <rPh sb="153" eb="155">
      <t>ケントウ</t>
    </rPh>
    <rPh sb="161" eb="165">
      <t>ブンショジョウホウ</t>
    </rPh>
    <phoneticPr fontId="2"/>
  </si>
  <si>
    <t>141</t>
    <phoneticPr fontId="2"/>
  </si>
  <si>
    <t>141_01</t>
    <phoneticPr fontId="2"/>
  </si>
  <si>
    <t>3文書6情報+患者サマリ</t>
    <rPh sb="1" eb="3">
      <t>ブンショ</t>
    </rPh>
    <rPh sb="4" eb="6">
      <t>ジョウホウ</t>
    </rPh>
    <rPh sb="7" eb="9">
      <t>カンジャ</t>
    </rPh>
    <phoneticPr fontId="2"/>
  </si>
  <si>
    <t>FHIRデータに記録される医療機関コードが同一文字列であることのアドオンチェックの条件追加（新旧医療機関コード混在を許容する)</t>
    <phoneticPr fontId="2"/>
  </si>
  <si>
    <t>2026/8/10 ACN黒川
(リリース希望時期綺麗化作業)リリース希望時期を「令和8年度秋」から「令和8年度9月」に変更。
2026/6/23　支払基金内田
要求事項に臨床情報XMLフォーマットについて、メッセージヘッダ部の「医療機関コード」「医療機関名」の修正を追加。
2026/2/26 支払基金山本晃 
業務要件欄にインターフェイスの変更とオン資での対応を追加。
2026/2/26 ACN櫻井
要件定義にて、オン資側の改修が必要とわかったため、Y列の「対象システム」にオン資を追加。
2025/12/15 ACN本田
患者サマリーも本案件の対象であることから、案件区分・対象業務を更新。
2025/12/8 ACN本田
令和8年度中に改修する全国プラットホーム系の案件と、令和8年度秋にリリースする電カル共有の案件の区別をつけるため、リリース希望時期を「令和8年度秋」に変更
2025/11/25 ACN本田
10/20(月)開発課題検討会の合意事項として新規起票</t>
    <rPh sb="75" eb="79">
      <t>シハライキキン</t>
    </rPh>
    <rPh sb="79" eb="81">
      <t>ウチダ</t>
    </rPh>
    <rPh sb="150" eb="154">
      <t>シハライキキン</t>
    </rPh>
    <rPh sb="154" eb="156">
      <t>ヤマモト</t>
    </rPh>
    <rPh sb="156" eb="157">
      <t>アキラ</t>
    </rPh>
    <rPh sb="159" eb="163">
      <t>ギョウムヨウケン</t>
    </rPh>
    <rPh sb="163" eb="164">
      <t>ラン</t>
    </rPh>
    <rPh sb="174" eb="176">
      <t>ヘンコウ</t>
    </rPh>
    <rPh sb="203" eb="205">
      <t>サクライ</t>
    </rPh>
    <rPh sb="206" eb="208">
      <t>ヨウケン</t>
    </rPh>
    <rPh sb="208" eb="210">
      <t>テイギ</t>
    </rPh>
    <rPh sb="215" eb="216">
      <t>シ</t>
    </rPh>
    <rPh sb="216" eb="217">
      <t>ガワ</t>
    </rPh>
    <rPh sb="218" eb="220">
      <t>カイシュウ</t>
    </rPh>
    <rPh sb="221" eb="223">
      <t>ヒツヨウ</t>
    </rPh>
    <rPh sb="232" eb="233">
      <t>レツ</t>
    </rPh>
    <rPh sb="235" eb="237">
      <t>タイショウ</t>
    </rPh>
    <rPh sb="245" eb="246">
      <t>シ</t>
    </rPh>
    <rPh sb="247" eb="249">
      <t>ツイカ</t>
    </rPh>
    <phoneticPr fontId="2"/>
  </si>
  <si>
    <t>ACN 本田</t>
    <rPh sb="4" eb="6">
      <t>ホンダ</t>
    </rPh>
    <phoneticPr fontId="2"/>
  </si>
  <si>
    <t>電子証明書とFHIRデータにおける医療機関コードの一致チェックにおける新旧紐づけ対応は既に実装済みであるが、当該対応の前提として、FHIRデータに記録される医療機関コードが同一文字列であることのアドオンチェックを行っていた。
一方で、FHIRデータに記録される医療機関コードのなかでも、医療機関コードの新旧が起こりうることから、「同一文字列であることのアドオンチェック」のなかで、新旧医療機関コード混在を許容する仕組みを実装する。</t>
    <rPh sb="54" eb="56">
      <t>トウガイ</t>
    </rPh>
    <rPh sb="56" eb="58">
      <t>タイオウ</t>
    </rPh>
    <rPh sb="59" eb="61">
      <t>ゼンテイ</t>
    </rPh>
    <rPh sb="106" eb="107">
      <t>オコナ</t>
    </rPh>
    <rPh sb="113" eb="115">
      <t>イッポウ</t>
    </rPh>
    <rPh sb="143" eb="147">
      <t>イリョウキカン</t>
    </rPh>
    <rPh sb="151" eb="153">
      <t>シンキュウ</t>
    </rPh>
    <rPh sb="154" eb="155">
      <t>オ</t>
    </rPh>
    <rPh sb="206" eb="208">
      <t>シク</t>
    </rPh>
    <rPh sb="210" eb="212">
      <t>ジッソウ</t>
    </rPh>
    <phoneticPr fontId="2"/>
  </si>
  <si>
    <t>■起票背景
現行仕様としては、電子証明書とFHIRデータにおける新旧紐づけは既に実装済みであるが、FHIRデータに記録される医療機関コードが同一文字列であることを担保するアドオンチェックを実装しているため、新旧混在パターンではエラーが返却される仕様となっている。
■目的
旧医療機関コードで記述された臨床情報(Bundleリソース→旧医療機関コード)に、新医療機関コードで記述したConditionリソースを追記して更新できるようにする</t>
    <rPh sb="1" eb="3">
      <t>キヒョウ</t>
    </rPh>
    <rPh sb="3" eb="5">
      <t>ハイケイ</t>
    </rPh>
    <rPh sb="134" eb="136">
      <t>モクテキ</t>
    </rPh>
    <phoneticPr fontId="2"/>
  </si>
  <si>
    <t>新旧医療機関コードが混在している場合においてもエラーにならず情報の送受信が可能になる</t>
    <rPh sb="0" eb="2">
      <t>シンキュウ</t>
    </rPh>
    <rPh sb="2" eb="6">
      <t>イリョウキカン</t>
    </rPh>
    <rPh sb="10" eb="12">
      <t>コンザイ</t>
    </rPh>
    <rPh sb="16" eb="18">
      <t>バアイ</t>
    </rPh>
    <rPh sb="30" eb="32">
      <t>ジョウホウ</t>
    </rPh>
    <rPh sb="33" eb="36">
      <t>ソウジュシン</t>
    </rPh>
    <rPh sb="37" eb="39">
      <t>カノウ</t>
    </rPh>
    <phoneticPr fontId="2"/>
  </si>
  <si>
    <t>影響なし</t>
    <rPh sb="0" eb="2">
      <t>エイキョウ</t>
    </rPh>
    <phoneticPr fontId="2"/>
  </si>
  <si>
    <t>3文書5情報・患者サマリーの登録/更新</t>
    <rPh sb="1" eb="3">
      <t>ブンショ</t>
    </rPh>
    <rPh sb="4" eb="6">
      <t>ジョウホウ</t>
    </rPh>
    <rPh sb="7" eb="9">
      <t>カンジャ</t>
    </rPh>
    <rPh sb="14" eb="16">
      <t>トウロク</t>
    </rPh>
    <rPh sb="17" eb="19">
      <t>コウシン</t>
    </rPh>
    <phoneticPr fontId="2"/>
  </si>
  <si>
    <t xml:space="preserve">機能：3文書登録/更新・臨床情報登録/更新・患者サマリー登録/更新
内容：FHIRデータに記録される医療機関コードのなかでも、医療機関コードの新旧が起こりうることから、「同一文字列であることのアドオンチェック」のなかで、新旧医療機関コード混在を許容する仕組みを実装する。
また電子カルテ共有からオンライン資格確認へのインターフェイスにおいて情報ごとの登録医療機関コードを保有し、オン資での帳票のデータ取得元を変更する。
</t>
    <rPh sb="138" eb="140">
      <t>デンシ</t>
    </rPh>
    <rPh sb="143" eb="145">
      <t>キョウユウ</t>
    </rPh>
    <rPh sb="152" eb="156">
      <t>シカクカクニン</t>
    </rPh>
    <phoneticPr fontId="2"/>
  </si>
  <si>
    <t>登録医療機関名および実施機関について
Bundle.identifier.value要素の先頭10桁を設定し、
継承の届出が医療機関等向け総合ポータルサイトにて行われているときは承継先の医療機関名称を表示。</t>
    <phoneticPr fontId="2"/>
  </si>
  <si>
    <t>142</t>
    <phoneticPr fontId="2"/>
  </si>
  <si>
    <t>142_01</t>
    <phoneticPr fontId="2"/>
  </si>
  <si>
    <t>同意なしの文書（閲覧保留文書）の登録防止機能の追加</t>
    <phoneticPr fontId="2"/>
  </si>
  <si>
    <r>
      <rPr>
        <sz val="11"/>
        <color rgb="FFFF0000"/>
        <rFont val="Meiryo UI"/>
        <family val="3"/>
        <charset val="128"/>
      </rPr>
      <t xml:space="preserve">6/8 基金青木
個別検討会での合意を受け、案件概要と要求事項の記載を修正。アドオンを入力パラメータに変更。
</t>
    </r>
    <r>
      <rPr>
        <sz val="11"/>
        <color rgb="FF000000"/>
        <rFont val="Meiryo UI"/>
        <family val="3"/>
        <charset val="128"/>
      </rPr>
      <t>6/4 基金山本貴
ND様・FJ様等と調整を重ねた結果、9月末リリースでの対応が可能となる見込みが立ったことから、リリース希望時期を「令和8年度9月末 or 令和8年度12月」から「令和8年度9月」へ更新。
2026/5/18 ACN本田
5/18開発課題検討会にて、
本案件のリリース時期について、
令和8年度9月末リリースに前倒しする方針で調整したい旨をNDより申し出があったことを基金から共有をいただいた。
最終的にNDと基金にてリリース時期を調整いただいているため、
リリース希望時期を変更
2026/5/14 ACN黒川
5/11開発課題検討会で合意したため、リリース希望時期をR8年度12月に変更済み
2026/5/11 ACN本田
デジタル庁との調整が完了しているため、ステークホルダー調整を更新済み
2026/2/23 ACN本田
備考欄へ「1/19開発課題検討会にて本案件は2026/4末までに開発要否を基金へ連携することになった」旨を追記
2025/12/8 ACN本田
令和8年度中に改修する全国プラットホーム系の案件と、令和8年度秋にリリースする電カル共有の案件の区別をつけるため、リリース希望時期を「令和8年度秋」に変更
2025/11/25 ACN本田
各情報の課題検討の結果、令和8年度開発案件として新規起票</t>
    </r>
    <phoneticPr fontId="2"/>
  </si>
  <si>
    <r>
      <rPr>
        <sz val="11"/>
        <color rgb="FF000000"/>
        <rFont val="Meiryo UI"/>
        <family val="3"/>
        <charset val="128"/>
      </rPr>
      <t>閲覧保留の仕組みを使わないという方針に基づき、閲覧保留文書が誤って送られてこないように同意なしの文書を登録エラーとする</t>
    </r>
    <r>
      <rPr>
        <strike/>
        <sz val="11"/>
        <color rgb="FFFF0000"/>
        <rFont val="Meiryo UI"/>
        <family val="3"/>
        <charset val="128"/>
      </rPr>
      <t>アドオン</t>
    </r>
    <r>
      <rPr>
        <sz val="11"/>
        <color rgb="FFFF0000"/>
        <rFont val="Meiryo UI"/>
        <family val="3"/>
        <charset val="128"/>
      </rPr>
      <t>入力パラメータチェック</t>
    </r>
    <r>
      <rPr>
        <sz val="11"/>
        <color rgb="FF000000"/>
        <rFont val="Meiryo UI"/>
        <family val="3"/>
        <charset val="128"/>
      </rPr>
      <t>を追加する</t>
    </r>
  </si>
  <si>
    <t>■起票背景
モデル事業を受けて、診療情報提供書に対する同意を閲覧保留とする運用を行わない方針となった。
■目的
閲覧保留文書を医療機関から中央基盤に送信されないようにする。</t>
    <rPh sb="1" eb="5">
      <t>キヒョウハイケイ</t>
    </rPh>
    <rPh sb="9" eb="11">
      <t>ジギョウ</t>
    </rPh>
    <rPh sb="12" eb="13">
      <t>ウ</t>
    </rPh>
    <rPh sb="53" eb="55">
      <t>モクテキ</t>
    </rPh>
    <phoneticPr fontId="2"/>
  </si>
  <si>
    <t>閲覧保留の文書が送付されず、運用において閲覧保留の文書の検討が不要になる</t>
    <rPh sb="0" eb="4">
      <t>エツランホリュウ</t>
    </rPh>
    <rPh sb="5" eb="7">
      <t>ブンショ</t>
    </rPh>
    <rPh sb="8" eb="10">
      <t>ソウフ</t>
    </rPh>
    <rPh sb="14" eb="16">
      <t>ウンヨウ</t>
    </rPh>
    <rPh sb="20" eb="24">
      <t>エツランホリュウ</t>
    </rPh>
    <rPh sb="25" eb="27">
      <t>ブンショ</t>
    </rPh>
    <rPh sb="28" eb="30">
      <t>ケントウ</t>
    </rPh>
    <rPh sb="31" eb="33">
      <t>フヨウ</t>
    </rPh>
    <phoneticPr fontId="2"/>
  </si>
  <si>
    <t>・デジタル庁：調整済み</t>
    <rPh sb="5" eb="6">
      <t>チョウ</t>
    </rPh>
    <rPh sb="7" eb="9">
      <t>チョウセイ</t>
    </rPh>
    <rPh sb="9" eb="10">
      <t>ズ</t>
    </rPh>
    <phoneticPr fontId="2"/>
  </si>
  <si>
    <t>令和8年度9月</t>
  </si>
  <si>
    <t>1/19開発課題検討会にて本案件は2026/4末までに開発要否を基金へ連携することになった</t>
    <phoneticPr fontId="2"/>
  </si>
  <si>
    <t>診療情報提供書の登録</t>
    <rPh sb="0" eb="7">
      <t>シンリョウジョウホウテイキョウショ</t>
    </rPh>
    <rPh sb="8" eb="10">
      <t>トウロク</t>
    </rPh>
    <phoneticPr fontId="2"/>
  </si>
  <si>
    <r>
      <rPr>
        <sz val="11"/>
        <color rgb="FF000000"/>
        <rFont val="Meiryo UI"/>
        <family val="3"/>
        <charset val="128"/>
      </rPr>
      <t>機能：文書情報登録/更新
内容：閲覧保留の仕組みを使わないという方針に基づき、閲覧保留文書が誤って送られてこないように同意なしの文書を登録エラーとする</t>
    </r>
    <r>
      <rPr>
        <strike/>
        <sz val="11"/>
        <color rgb="FFFF0000"/>
        <rFont val="Meiryo UI"/>
        <family val="3"/>
        <charset val="128"/>
      </rPr>
      <t>アドオン</t>
    </r>
    <r>
      <rPr>
        <sz val="11"/>
        <color rgb="FFFF0000"/>
        <rFont val="Meiryo UI"/>
        <family val="3"/>
        <charset val="128"/>
      </rPr>
      <t>入力パラメータチェック</t>
    </r>
    <r>
      <rPr>
        <sz val="11"/>
        <color rgb="FF000000"/>
        <rFont val="Meiryo UI"/>
        <family val="3"/>
        <charset val="128"/>
      </rPr>
      <t>を追加する</t>
    </r>
  </si>
  <si>
    <t>143</t>
    <phoneticPr fontId="2"/>
  </si>
  <si>
    <t>143_01</t>
    <phoneticPr fontId="2"/>
  </si>
  <si>
    <t>臨床情報:全般(患者サマリ含む)</t>
    <rPh sb="0" eb="2">
      <t>リンショウ</t>
    </rPh>
    <rPh sb="5" eb="7">
      <t>ゼンパン</t>
    </rPh>
    <rPh sb="8" eb="10">
      <t>カンジャ</t>
    </rPh>
    <rPh sb="13" eb="14">
      <t>ガン</t>
    </rPh>
    <phoneticPr fontId="2"/>
  </si>
  <si>
    <t>臨床情報一覧(PDF帳票)のレイアウト変更</t>
    <rPh sb="0" eb="4">
      <t>リンショウジョウホウ</t>
    </rPh>
    <rPh sb="4" eb="6">
      <t>イチラン</t>
    </rPh>
    <rPh sb="10" eb="12">
      <t>チョウヒョウ</t>
    </rPh>
    <rPh sb="19" eb="21">
      <t>ヘンコウ</t>
    </rPh>
    <phoneticPr fontId="2"/>
  </si>
  <si>
    <t>2026/8/10 ACN黒川
(リリース希望時期綺麗化作業)リリース希望時期を「令和8年度秋」から「令和8年度9月」に変更。
2026/4/27 ACN本田
厚労省スレッドでの基金からの問い合わせを基に要求事項を修正。なお、案件146の感染情報の改修によりpdfで新規追加となる項目名は「患者共有済み」(表示内容〇/×)
2026/4/24 支払基金熊田
技術解説書との齟齬部分について修正する（赤字にて表記）
2026/4/20 ACN本田
厚労省スレッドでの基金からの問い合わせを基に、要求事項を修正（赤字にて表記）
2026/2/23 ACN本田
要求事項を更新
2026/2/2 ACN本田
PDFの更新の要件が一部決まったため更新。
(なお、最終FIXは2月末。)
2025/12/15 ACN本田
患者サマリーも本案件の対象であることから、案件区分・対象業務を更新
2025/12/8 ACN 本田
令和8年度中に改修する全国プラットホーム系の案件と、令和8年度秋にリリースする電カル共有の案件の区別をつけるため、リリース希望時期を「令和8年度秋」に変更
2025/11/25 ACN本田
各情報の課題検討の結果、令和8年度開発案件として新規起票</t>
    <rPh sb="78" eb="80">
      <t>ホンダ</t>
    </rPh>
    <rPh sb="81" eb="84">
      <t>コウロウショウ</t>
    </rPh>
    <rPh sb="90" eb="92">
      <t>キキン</t>
    </rPh>
    <rPh sb="95" eb="96">
      <t>ト</t>
    </rPh>
    <rPh sb="97" eb="98">
      <t>ア</t>
    </rPh>
    <rPh sb="101" eb="102">
      <t>モト</t>
    </rPh>
    <rPh sb="103" eb="105">
      <t>ヨウキュウ</t>
    </rPh>
    <rPh sb="105" eb="107">
      <t>ジコウ</t>
    </rPh>
    <rPh sb="108" eb="110">
      <t>シュウセイ</t>
    </rPh>
    <rPh sb="114" eb="116">
      <t>アンケン</t>
    </rPh>
    <rPh sb="120" eb="122">
      <t>カンセン</t>
    </rPh>
    <rPh sb="122" eb="124">
      <t>ジョウホウ</t>
    </rPh>
    <rPh sb="125" eb="127">
      <t>カイシュウ</t>
    </rPh>
    <rPh sb="134" eb="136">
      <t>シンキ</t>
    </rPh>
    <rPh sb="136" eb="138">
      <t>ツイカ</t>
    </rPh>
    <rPh sb="141" eb="143">
      <t>コウモク</t>
    </rPh>
    <rPh sb="146" eb="148">
      <t>カンジャ</t>
    </rPh>
    <rPh sb="148" eb="150">
      <t>キョウユウ</t>
    </rPh>
    <rPh sb="150" eb="151">
      <t>ズ</t>
    </rPh>
    <rPh sb="154" eb="156">
      <t>ヒョウジ</t>
    </rPh>
    <rPh sb="156" eb="158">
      <t>ナイヨウ</t>
    </rPh>
    <rPh sb="174" eb="178">
      <t>シハライキキン</t>
    </rPh>
    <rPh sb="178" eb="180">
      <t>クマタ</t>
    </rPh>
    <rPh sb="242" eb="244">
      <t>ホンダ</t>
    </rPh>
    <rPh sb="245" eb="248">
      <t>コウロウショウ</t>
    </rPh>
    <rPh sb="254" eb="256">
      <t>キキン</t>
    </rPh>
    <rPh sb="259" eb="260">
      <t>ト</t>
    </rPh>
    <rPh sb="261" eb="262">
      <t>ア</t>
    </rPh>
    <rPh sb="265" eb="266">
      <t>モト</t>
    </rPh>
    <rPh sb="268" eb="270">
      <t>ヨウキュウ</t>
    </rPh>
    <rPh sb="270" eb="272">
      <t>ジコウ</t>
    </rPh>
    <rPh sb="273" eb="275">
      <t>シュウセイ</t>
    </rPh>
    <rPh sb="276" eb="278">
      <t>アカジ</t>
    </rPh>
    <rPh sb="280" eb="282">
      <t>ヒョウキ</t>
    </rPh>
    <rPh sb="298" eb="300">
      <t>ホンダ</t>
    </rPh>
    <rPh sb="301" eb="303">
      <t>ヨウキュウ</t>
    </rPh>
    <rPh sb="303" eb="305">
      <t>ジコウ</t>
    </rPh>
    <rPh sb="306" eb="308">
      <t>コウシン</t>
    </rPh>
    <phoneticPr fontId="2"/>
  </si>
  <si>
    <t>臨床情報一覧のPDFレイアウトを変更する</t>
  </si>
  <si>
    <t>■起票背景
モデル事業を受けて、各情報の課題の検討の中で、傷病名やアレルギー情報の登録方針を作業班等で検討を行う必要がある。
■目的
臨床情報一覧のPDFレイアウトを変更し、各情報の検討結果を反映する</t>
    <rPh sb="1" eb="3">
      <t>キヒョウ</t>
    </rPh>
    <rPh sb="3" eb="5">
      <t>ハイケイ</t>
    </rPh>
    <rPh sb="9" eb="11">
      <t>ジギョウ</t>
    </rPh>
    <rPh sb="12" eb="13">
      <t>ウ</t>
    </rPh>
    <rPh sb="16" eb="19">
      <t>カクジョウホウ</t>
    </rPh>
    <rPh sb="20" eb="22">
      <t>カダイ</t>
    </rPh>
    <rPh sb="23" eb="25">
      <t>ケントウ</t>
    </rPh>
    <rPh sb="26" eb="27">
      <t>ナカ</t>
    </rPh>
    <rPh sb="29" eb="31">
      <t>ショウビョウ</t>
    </rPh>
    <rPh sb="31" eb="32">
      <t>メイ</t>
    </rPh>
    <rPh sb="38" eb="40">
      <t>ジョウホウ</t>
    </rPh>
    <rPh sb="41" eb="43">
      <t>トウロク</t>
    </rPh>
    <rPh sb="43" eb="45">
      <t>ホウシン</t>
    </rPh>
    <rPh sb="46" eb="49">
      <t>サギョウハン</t>
    </rPh>
    <rPh sb="49" eb="50">
      <t>トウ</t>
    </rPh>
    <rPh sb="51" eb="53">
      <t>ケントウ</t>
    </rPh>
    <rPh sb="54" eb="55">
      <t>オコナ</t>
    </rPh>
    <rPh sb="56" eb="58">
      <t>ヒツヨウ</t>
    </rPh>
    <rPh sb="63" eb="66">
      <t>シカクモクテキ</t>
    </rPh>
    <rPh sb="67" eb="69">
      <t>リンショウ</t>
    </rPh>
    <rPh sb="69" eb="71">
      <t>ジョウホウ</t>
    </rPh>
    <rPh sb="71" eb="73">
      <t>イチラン</t>
    </rPh>
    <rPh sb="83" eb="85">
      <t>ヘンコウ</t>
    </rPh>
    <rPh sb="87" eb="90">
      <t>カクジョウホウ</t>
    </rPh>
    <rPh sb="91" eb="93">
      <t>ケントウ</t>
    </rPh>
    <rPh sb="93" eb="95">
      <t>ケッカ</t>
    </rPh>
    <rPh sb="96" eb="98">
      <t>ハンエイ</t>
    </rPh>
    <phoneticPr fontId="2"/>
  </si>
  <si>
    <t>臨床情報閲覧時に作業班で決定された定義に従って医療機関間で認識相違が少なく臨床情報を閲覧できる</t>
    <rPh sb="0" eb="4">
      <t>リンショウジョウホウ</t>
    </rPh>
    <rPh sb="4" eb="6">
      <t>エツラン</t>
    </rPh>
    <rPh sb="6" eb="7">
      <t>ジ</t>
    </rPh>
    <rPh sb="8" eb="11">
      <t>サギョウハン</t>
    </rPh>
    <rPh sb="12" eb="14">
      <t>ケッテイ</t>
    </rPh>
    <rPh sb="17" eb="19">
      <t>テイギ</t>
    </rPh>
    <rPh sb="20" eb="21">
      <t>シタガ</t>
    </rPh>
    <rPh sb="23" eb="25">
      <t>イリョウ</t>
    </rPh>
    <rPh sb="25" eb="27">
      <t>キカン</t>
    </rPh>
    <rPh sb="27" eb="28">
      <t>カン</t>
    </rPh>
    <rPh sb="29" eb="31">
      <t>ニンシキ</t>
    </rPh>
    <rPh sb="31" eb="33">
      <t>ソウイ</t>
    </rPh>
    <rPh sb="34" eb="35">
      <t>スク</t>
    </rPh>
    <rPh sb="37" eb="41">
      <t>リンショウジョウホウ</t>
    </rPh>
    <rPh sb="42" eb="44">
      <t>エツラン</t>
    </rPh>
    <phoneticPr fontId="2"/>
  </si>
  <si>
    <t>臨床情報・患者サマリーの閲覧</t>
    <rPh sb="0" eb="2">
      <t>リンショウ</t>
    </rPh>
    <rPh sb="2" eb="4">
      <t>ジョウホウ</t>
    </rPh>
    <rPh sb="5" eb="7">
      <t>カンジャ</t>
    </rPh>
    <rPh sb="12" eb="14">
      <t>エツラン</t>
    </rPh>
    <phoneticPr fontId="2"/>
  </si>
  <si>
    <r>
      <rPr>
        <sz val="11"/>
        <color rgb="FF000000"/>
        <rFont val="Meiryo UI"/>
        <family val="3"/>
        <charset val="128"/>
      </rPr>
      <t>機能：医療機関向け臨床情報PDF帳票出力・マイナポータル向け臨床情報PDF帳票出力・患者サマリーPDF出力
内容：臨床情報一覧のPDFレイアウトを変更する(要件整理中)
①【医療機関向け】
●基本情報　変更なし
●傷病名
　▸項目名称変更：病名開始日→診療開始日
　▸項目の表示方法変更：未告知フラグがついてる傷病名は「未告知」と表示→「告知状況」としてカラムを追加し、未告知フラグありを「未告知」・未告知フラグなしを「済」と表示
　▸項目表示削除：長期保存フラグ
　▸ソート順変更：</t>
    </r>
    <r>
      <rPr>
        <strike/>
        <sz val="11"/>
        <color rgb="FFFF0000"/>
        <rFont val="Meiryo UI"/>
        <family val="3"/>
        <charset val="128"/>
      </rPr>
      <t xml:space="preserve">診療開始日「降順」（最新日付が上にくる）
</t>
    </r>
    <r>
      <rPr>
        <sz val="11"/>
        <color rgb="FFFF0000"/>
        <rFont val="Meiryo UI"/>
        <family val="3"/>
        <charset val="128"/>
      </rPr>
      <t xml:space="preserve">第1ソートキー：診療開始日「降順」（最新日時が上にくる）
第2ソートキー：主傷病フラグの有無（有るほうが上にくる）
第3ソートキー：テキスト名称順
</t>
    </r>
    <r>
      <rPr>
        <strike/>
        <sz val="11"/>
        <color rgb="FFFF0000"/>
        <rFont val="Meiryo UI"/>
        <family val="3"/>
        <charset val="128"/>
      </rPr>
      <t xml:space="preserve">※同じ傷病名は「標準病名履歴マスタ」のコードを基にまとめる
</t>
    </r>
    <r>
      <rPr>
        <sz val="11"/>
        <color rgb="FFFF0000"/>
        <rFont val="Meiryo UI"/>
        <family val="3"/>
        <charset val="128"/>
      </rPr>
      <t xml:space="preserve">※グルーピング：名称が完全一致でまとめる
（例：①白内障疑い（傷病名コード：20073809　 修飾語コード：ー※VerificationStatusで疑い)と白内障疑い（傷病名コード：20073809　 修飾語コード：27000001)はまとめる
②糖尿病性白内障（傷病名コード：20071593　修飾語コード：ー）と糖尿病性白内障（傷病名コード：20073809　 修飾語コード：27000307）はまとめる）
※同じ傷病名が連続する場合は2行目の診療開始日・傷病名・主フラグをグレー文字にするor同じ傷病名をセル結合する形式のいずれかでまとめて表現する
</t>
    </r>
    <r>
      <rPr>
        <sz val="11"/>
        <color rgb="FF000000"/>
        <rFont val="Meiryo UI"/>
        <family val="3"/>
        <charset val="128"/>
      </rPr>
      <t xml:space="preserve">
●感染症
　▸項目表示削除：長期保存フラグ
　▸項目追加：</t>
    </r>
    <r>
      <rPr>
        <strike/>
        <sz val="11"/>
        <color rgb="FFFF0000"/>
        <rFont val="Meiryo UI"/>
        <family val="3"/>
        <charset val="128"/>
      </rPr>
      <t>患者閲覧可否</t>
    </r>
    <r>
      <rPr>
        <b/>
        <sz val="11"/>
        <color rgb="FFFF0000"/>
        <rFont val="Meiryo UI"/>
        <family val="3"/>
        <charset val="128"/>
      </rPr>
      <t>患者共有済み</t>
    </r>
    <r>
      <rPr>
        <sz val="11"/>
        <color rgb="FF000000"/>
        <rFont val="Meiryo UI"/>
        <family val="3"/>
        <charset val="128"/>
      </rPr>
      <t>(○/×を表示)
　▸ソート順変更：</t>
    </r>
    <r>
      <rPr>
        <strike/>
        <sz val="11"/>
        <color rgb="FFFF0000"/>
        <rFont val="Meiryo UI"/>
        <family val="3"/>
        <charset val="128"/>
      </rPr>
      <t>検体採取日時登録日「降順」（最新日付が上にくる）</t>
    </r>
    <r>
      <rPr>
        <sz val="11"/>
        <color rgb="FFFF0000"/>
        <rFont val="Meiryo UI"/>
        <family val="3"/>
        <charset val="128"/>
      </rPr>
      <t xml:space="preserve"> 　　
第1ソートキー：検体採取日時「降順」（最新日時が上にくる）
第2ソートキー：JLACコード表の「並び順」の順
</t>
    </r>
    <r>
      <rPr>
        <sz val="11"/>
        <color rgb="FF000000"/>
        <rFont val="Meiryo UI"/>
        <family val="3"/>
        <charset val="128"/>
      </rPr>
      <t>※同じ検査項目名の文字列を基にまとめる（JLACコード単位でまとめると試薬ごとにまとめることとなり細かすぎるため検査項目単位でまとめる）
※同じ検査項目名の文字列が連続する場合は2行目の日付・検査項目名をグレー文字にするor同じ傷病名をセル結合する形式のいずれかでまとめて表現する
●薬剤アレルギー等
　▸項目表示削除：長期保存フラグ
　▸ソート順：</t>
    </r>
    <r>
      <rPr>
        <strike/>
        <sz val="11"/>
        <color rgb="FFFF0000"/>
        <rFont val="Meiryo UI"/>
        <family val="3"/>
        <charset val="128"/>
      </rPr>
      <t xml:space="preserve">登録日「降順」（最新日付が上にくる）
</t>
    </r>
    <r>
      <rPr>
        <sz val="11"/>
        <color rgb="FFFF0000"/>
        <rFont val="Meiryo UI"/>
        <family val="3"/>
        <charset val="128"/>
      </rPr>
      <t xml:space="preserve">第1ソートキー：登録日時順「降順」（最新日時が上にくる）
第2ソートキー：テキスト名称順
</t>
    </r>
    <r>
      <rPr>
        <strike/>
        <sz val="11"/>
        <color rgb="FFFF0000"/>
        <rFont val="Meiryo UI"/>
        <family val="3"/>
        <charset val="128"/>
      </rPr>
      <t xml:space="preserve"> 　　※同じ薬剤名・アレルギー物質名は「YJコード、剤形規格銘柄不明コード、薬剤アレルギー用コードJFAGYコード」を基にまとめる(ダミーコードはまとめない)
</t>
    </r>
    <r>
      <rPr>
        <sz val="11"/>
        <color rgb="FFFF0000"/>
        <rFont val="Meiryo UI"/>
        <family val="3"/>
        <charset val="128"/>
      </rPr>
      <t xml:space="preserve">※グルーピング：名称が完全一致でまとめる
（例：ハロタン（薬剤アレルギー用コードYCM1112700X1011）とハロタン（ダミーコード D9M000000000）はまとめる）
</t>
    </r>
    <r>
      <rPr>
        <sz val="11"/>
        <color rgb="FF000000"/>
        <rFont val="Meiryo UI"/>
        <family val="3"/>
        <charset val="128"/>
      </rPr>
      <t>※同じ薬剤名・アレルギー物質名が連続する場合は2行目の登録日・名称をグレー文字にするor同じ名称をセル結合する形式のいずれかでまとめて表現する
●その他アレルギー等
　▸項目表示削除：カテゴリ
　▸項目名称変更：アレルギー→アレルギー物質
　▸項目表示削除：長期保存フラグ
　▸</t>
    </r>
    <r>
      <rPr>
        <strike/>
        <sz val="11"/>
        <color rgb="FFFF0000"/>
        <rFont val="Meiryo UI"/>
        <family val="3"/>
        <charset val="128"/>
      </rPr>
      <t xml:space="preserve">登録日「降順」（最新日付が上にくる）
</t>
    </r>
    <r>
      <rPr>
        <sz val="11"/>
        <color rgb="FFFF0000"/>
        <rFont val="Meiryo UI"/>
        <family val="3"/>
        <charset val="128"/>
      </rPr>
      <t xml:space="preserve">　第1ソートキー：登録日時順「降順」（最新日時が上にくる）
　第2ソートキー：テキスト名称順 
</t>
    </r>
    <r>
      <rPr>
        <strike/>
        <sz val="11"/>
        <color rgb="FFFF0000"/>
        <rFont val="Meiryo UI"/>
        <family val="3"/>
        <charset val="128"/>
      </rPr>
      <t xml:space="preserve">※同じ薬剤名・アレルギー物質名は「YJコード、剤形規格銘柄不明コード、JFAGYコード」を基にまとめる(ダミーコードはまとめない)
</t>
    </r>
    <r>
      <rPr>
        <sz val="11"/>
        <color rgb="FFFF0000"/>
        <rFont val="Meiryo UI"/>
        <family val="3"/>
        <charset val="128"/>
      </rPr>
      <t xml:space="preserve">※グルーピング：名称が完全一致でまとめる
（例：ハロタン（薬剤アレルギー用コードYCM1112700X1011）とハロタン（ダミーコード D9M000000000）はまとめる）
</t>
    </r>
    <r>
      <rPr>
        <sz val="11"/>
        <color rgb="FF000000"/>
        <rFont val="Meiryo UI"/>
        <family val="3"/>
        <charset val="128"/>
      </rPr>
      <t>※同じ薬剤名・アレルギー物質名が連続する場合は2行目の登録日・名称をグレー文字にするor同じ名称をセル結合する形式のいずれかでまとめて表現する
●検査　変更なし
●処方情報　項目全体を削除(ヘッダおよび但し書きに記載のある処方情報の抽出機能を停止も削除)
②マイナポータル向け
●基本情報　変更なし
●傷病名
　▸項目名称変更：病名開始日→診療開始日
　▸項目表示削除：長期保存フラグ
　▸項目表示削除：終了日
　▸ソート順変更：</t>
    </r>
    <r>
      <rPr>
        <strike/>
        <sz val="11"/>
        <color rgb="FFFF0000"/>
        <rFont val="Meiryo UI"/>
        <family val="3"/>
        <charset val="128"/>
      </rPr>
      <t xml:space="preserve">診療開始日「降順」（最新日付が上にくる）
</t>
    </r>
    <r>
      <rPr>
        <sz val="11"/>
        <color rgb="FFFF0000"/>
        <rFont val="Meiryo UI"/>
        <family val="3"/>
        <charset val="128"/>
      </rPr>
      <t xml:space="preserve">第1ソートキー：診療開始日「降順」（最新日時が上にくる）
第2ソートキー：主傷病フラグの有無（有るほうが上にくる）
第3ソートキー：テキスト名称順
</t>
    </r>
    <r>
      <rPr>
        <strike/>
        <sz val="11"/>
        <color rgb="FFFF0000"/>
        <rFont val="Meiryo UI"/>
        <family val="3"/>
        <charset val="128"/>
      </rPr>
      <t xml:space="preserve">※同じ傷病名は「標準病名履歴マスタ」のコードを基にまとめる
</t>
    </r>
    <r>
      <rPr>
        <sz val="11"/>
        <color rgb="FFFF0000"/>
        <rFont val="Meiryo UI"/>
        <family val="3"/>
        <charset val="128"/>
      </rPr>
      <t xml:space="preserve">※グルーピング：名称が完全一致でまとめる
（例：①白内障疑い（傷病名コード：20073809　 修飾語コード：ー※VerificationStatusで疑い)と白内障疑い（傷病名コード：20073809　 修飾語コード：27000001)はまとめる
②糖尿病性白内障（傷病名コード：20071593　修飾語コード：ー）と糖尿病性白内障（傷病名コード：20073809　 修飾語コード：27000307）はまとめる）
</t>
    </r>
    <r>
      <rPr>
        <sz val="11"/>
        <color rgb="FF000000"/>
        <rFont val="Meiryo UI"/>
        <family val="3"/>
        <charset val="128"/>
      </rPr>
      <t>※同じ傷病名が連続する場合は2行目の診療開始日・傷病名・主フラグをグレー文字にするor同じ傷病名をセル結合する形式のいずれかでまとめて表現する
●感染症</t>
    </r>
    <r>
      <rPr>
        <sz val="11"/>
        <color rgb="FFFF0000"/>
        <rFont val="Meiryo UI"/>
        <family val="3"/>
        <charset val="128"/>
      </rPr>
      <t xml:space="preserve">（患者サマリも同様）
</t>
    </r>
    <r>
      <rPr>
        <sz val="11"/>
        <color rgb="FF000000"/>
        <rFont val="Meiryo UI"/>
        <family val="3"/>
        <charset val="128"/>
      </rPr>
      <t>　▸項目表示削除：長期保存フラグ
　▸ソート順変更：</t>
    </r>
    <r>
      <rPr>
        <strike/>
        <sz val="11"/>
        <color rgb="FFFF0000"/>
        <rFont val="Meiryo UI"/>
        <family val="3"/>
        <charset val="128"/>
      </rPr>
      <t xml:space="preserve">検体採取日時登録日（最新日付が上にくる）
</t>
    </r>
    <r>
      <rPr>
        <sz val="11"/>
        <color rgb="FFFF0000"/>
        <rFont val="Meiryo UI"/>
        <family val="3"/>
        <charset val="128"/>
      </rPr>
      <t xml:space="preserve">第1ソートキー：検体採取日時「降順」（最新日時が上にくる）
第2ソートキー：JLACコード表の「並び順」の順
</t>
    </r>
    <r>
      <rPr>
        <sz val="11"/>
        <color rgb="FF000000"/>
        <rFont val="Meiryo UI"/>
        <family val="3"/>
        <charset val="128"/>
      </rPr>
      <t>※同じ検査項目名の文字列を基にまとめる（JLACコード単位でまとめると試薬ごとにまとめることとなり細かすぎるため検査項目単位でまとめる）
※同じ検査項目名の文字列が連続する場合は2行目の日付・検査項目名をグレー文字にするor同じ傷病名をセル結合する形式のいずれかでまとめて表現する
●薬剤アレルギー等</t>
    </r>
    <r>
      <rPr>
        <sz val="11"/>
        <color rgb="FFFF0000"/>
        <rFont val="Meiryo UI"/>
        <family val="3"/>
        <charset val="128"/>
      </rPr>
      <t xml:space="preserve">（患者サマリも同様）
</t>
    </r>
    <r>
      <rPr>
        <sz val="11"/>
        <color rgb="FF000000"/>
        <rFont val="Meiryo UI"/>
        <family val="3"/>
        <charset val="128"/>
      </rPr>
      <t>　▸項目表示削除：長期保存フラグ
　▸ソート順：</t>
    </r>
    <r>
      <rPr>
        <strike/>
        <sz val="11"/>
        <color rgb="FFFF0000"/>
        <rFont val="Meiryo UI"/>
        <family val="3"/>
        <charset val="128"/>
      </rPr>
      <t xml:space="preserve">登録日「降順」（最新日付が上にくる）
</t>
    </r>
    <r>
      <rPr>
        <sz val="11"/>
        <color rgb="FFFF0000"/>
        <rFont val="Meiryo UI"/>
        <family val="3"/>
        <charset val="128"/>
      </rPr>
      <t xml:space="preserve">第1ソートキー：登録日時順「降順」（最新日時が上にくる）
第2ソートキー：テキスト名称順
</t>
    </r>
    <r>
      <rPr>
        <strike/>
        <sz val="11"/>
        <color rgb="FFFF0000"/>
        <rFont val="Meiryo UI"/>
        <family val="3"/>
        <charset val="128"/>
      </rPr>
      <t xml:space="preserve"> 　　※同じ薬剤名・アレルギー物質名は「YJコード、剤形規格銘柄不明コード、薬剤アレルギー用コードJFAGYコード」を基にまとめる(ダミーコードはまとめない)
</t>
    </r>
    <r>
      <rPr>
        <sz val="11"/>
        <color rgb="FFFF0000"/>
        <rFont val="Meiryo UI"/>
        <family val="3"/>
        <charset val="128"/>
      </rPr>
      <t xml:space="preserve">※グルーピング：名称が完全一致でまとめる
（例：ハロタン（薬剤アレルギー用コードYCM1112700X1011）とハロタン（ダミーコード D9M000000000）はまとめる）
</t>
    </r>
    <r>
      <rPr>
        <sz val="11"/>
        <color rgb="FF000000"/>
        <rFont val="Meiryo UI"/>
        <family val="3"/>
        <charset val="128"/>
      </rPr>
      <t>※同じ薬剤名・アレルギー物質名が連続する場合は2行目の登録日・名称をグレー文字にするor同じ名称をセル結合する形式のいずれかでまとめて表現する
●その他アレルギー等</t>
    </r>
    <r>
      <rPr>
        <sz val="11"/>
        <color rgb="FFFF0000"/>
        <rFont val="Meiryo UI"/>
        <family val="3"/>
        <charset val="128"/>
      </rPr>
      <t xml:space="preserve">（患者サマリも同様）
</t>
    </r>
    <r>
      <rPr>
        <sz val="11"/>
        <color rgb="FF000000"/>
        <rFont val="Meiryo UI"/>
        <family val="3"/>
        <charset val="128"/>
      </rPr>
      <t>　▸項目表示削除：カテゴリ
　▸項目名称変更：アレルギー→アレルギー物質
　▸項目表示削除：長期保存フラグ
　▸ソート順：</t>
    </r>
    <r>
      <rPr>
        <strike/>
        <sz val="11"/>
        <color rgb="FFFF0000"/>
        <rFont val="Meiryo UI"/>
        <family val="3"/>
        <charset val="128"/>
      </rPr>
      <t xml:space="preserve">登録日「降順」（最新日付が上にくる） 　　
</t>
    </r>
    <r>
      <rPr>
        <sz val="11"/>
        <color rgb="FFFF0000"/>
        <rFont val="Meiryo UI"/>
        <family val="3"/>
        <charset val="128"/>
      </rPr>
      <t>第1ソートキー：登録日時順「降順」（最新日時が上にくる）
第2ソートキー：テキスト名称順
 　　</t>
    </r>
    <r>
      <rPr>
        <strike/>
        <sz val="11"/>
        <color rgb="FFFF0000"/>
        <rFont val="Meiryo UI"/>
        <family val="3"/>
        <charset val="128"/>
      </rPr>
      <t xml:space="preserve">※同じ薬剤名・アレルギー物質名は「YJコード、剤形規格銘柄不明コード、薬剤アレルギー用コードJFAGYコード」を基にまとめる(ダミーコードはまとめない)
</t>
    </r>
    <r>
      <rPr>
        <sz val="11"/>
        <color rgb="FFFF0000"/>
        <rFont val="Meiryo UI"/>
        <family val="3"/>
        <charset val="128"/>
      </rPr>
      <t xml:space="preserve">※グルーピング：名称が完全一致でまとめる
（例：ハロタン（薬剤アレルギー用コードYCM1112700X1011）とハロタン（ダミーコード D9M000000000）はまとめる）
</t>
    </r>
    <r>
      <rPr>
        <sz val="11"/>
        <color rgb="FF000000"/>
        <rFont val="Meiryo UI"/>
        <family val="3"/>
        <charset val="128"/>
      </rPr>
      <t xml:space="preserve">※同じ薬剤名・アレルギー物質名が連続する場合は2行目の登録日・名称をグレー文字にするor同じ名称をセル結合する形式のいずれかでまとめて表現する
●検査　変更なし
●処方情報　項目全体を削除(ヘッダおよび但し書きに記載のある処方情報の抽出機能を停止も削除)　
</t>
    </r>
    <r>
      <rPr>
        <sz val="11"/>
        <color rgb="FFFF0000"/>
        <rFont val="Meiryo UI"/>
        <family val="3"/>
        <charset val="128"/>
      </rPr>
      <t>基金側より追加要求事項）
 技術解説書との齟齬部分について修正する
 【検査・感染症】
・low.unit と high.unit が同一の場合は、low.unit を省略する。
 ・「Normal」は記述されていても表示しない。</t>
    </r>
    <phoneticPr fontId="2"/>
  </si>
  <si>
    <t>144</t>
    <phoneticPr fontId="2"/>
  </si>
  <si>
    <t>144_01</t>
    <phoneticPr fontId="2"/>
  </si>
  <si>
    <t>臨床情報一覧(XML)のレイアウト変更</t>
    <rPh sb="0" eb="4">
      <t>リンショウジョウホウ</t>
    </rPh>
    <rPh sb="4" eb="6">
      <t>イチラン</t>
    </rPh>
    <rPh sb="17" eb="19">
      <t>ヘンコウ</t>
    </rPh>
    <phoneticPr fontId="2"/>
  </si>
  <si>
    <t>2026/8/10 ACN黒川
(リリース希望時期綺麗化作業)リリース希望時期を「令和8年度秋」から「令和8年度9月」に変更。
2026/6/26 ACN黒川
厚労省スレッドにおける基金との調整により、マイナポ向け（PHR事業者を含む）の臨床情報・患者サマリのXMLについての要求事項にも備考を追記（青字にて表記）
2026/4/27 ACN本田
厚労省スレッドにおける基金との調整により、マイナポータルのPHR事業者向けXML・患者サマリのXMLについても要求事項に追記
2026/4/24 支払基金熊田
技術解説書との齟齬部分について修正する（赤字にて表記）
2026/4/23 ACN本田
要求事項に記載誤りがあったため、赤字で修正。
(※ 外部IFの備考欄への追記部分)
2026/2/23 ACN本田
要求事項を更新
2026/4/24 支払基金熊田
技術解説書との齟齬部分について修正する（赤字にて表記）
2026/2/2 ACN本田
PDFの更新の要件が一部決まったため更新。
(なお、最終FIXは2月末。)
2025/12/15 ACN本田
患者サマリーも本案件の対象であることから、案件区分・対象業務を更新
2025/12/8 ACN 本田
令和8年度中に改修する全国プラットホーム系の案件と、令和8年度秋にリリースする電カル共有の案件の区別をつけるため、リリース希望時期を「令和8年度秋」に変更
2025/11/25 ACN本田
各情報の課題検討の結果、令和8年度開発案件として新規起票</t>
    <rPh sb="78" eb="80">
      <t>クロカワ</t>
    </rPh>
    <rPh sb="81" eb="84">
      <t>コウロウショウ</t>
    </rPh>
    <rPh sb="92" eb="94">
      <t>キキン</t>
    </rPh>
    <rPh sb="96" eb="98">
      <t>チョウセイ</t>
    </rPh>
    <rPh sb="120" eb="122">
      <t>リンショウ</t>
    </rPh>
    <rPh sb="122" eb="124">
      <t>ジョウホウ</t>
    </rPh>
    <rPh sb="125" eb="127">
      <t>カンジャ</t>
    </rPh>
    <rPh sb="139" eb="141">
      <t>ヨウキュウ</t>
    </rPh>
    <rPh sb="141" eb="143">
      <t>ジコウ</t>
    </rPh>
    <rPh sb="145" eb="147">
      <t>ビコウ</t>
    </rPh>
    <rPh sb="148" eb="150">
      <t>ツイキ</t>
    </rPh>
    <rPh sb="151" eb="153">
      <t>アオジ</t>
    </rPh>
    <rPh sb="155" eb="157">
      <t>ヒョウキ</t>
    </rPh>
    <rPh sb="173" eb="175">
      <t>ホンダ</t>
    </rPh>
    <rPh sb="176" eb="179">
      <t>コウロウショウ</t>
    </rPh>
    <rPh sb="187" eb="189">
      <t>キキン</t>
    </rPh>
    <rPh sb="191" eb="193">
      <t>チョウセイ</t>
    </rPh>
    <rPh sb="208" eb="211">
      <t>ジギョウシャ</t>
    </rPh>
    <rPh sb="211" eb="212">
      <t>ム</t>
    </rPh>
    <rPh sb="217" eb="219">
      <t>カンジャ</t>
    </rPh>
    <rPh sb="231" eb="235">
      <t>ヨウキュウジコウ</t>
    </rPh>
    <rPh sb="236" eb="238">
      <t>ツイキ</t>
    </rPh>
    <rPh sb="299" eb="301">
      <t>ホンダ</t>
    </rPh>
    <rPh sb="302" eb="306">
      <t>ヨウキュウジコウ</t>
    </rPh>
    <rPh sb="307" eb="309">
      <t>キサイ</t>
    </rPh>
    <rPh sb="309" eb="310">
      <t>アヤマ</t>
    </rPh>
    <rPh sb="318" eb="320">
      <t>アカジ</t>
    </rPh>
    <rPh sb="321" eb="323">
      <t>シュウセイ</t>
    </rPh>
    <rPh sb="328" eb="330">
      <t>ガイブ</t>
    </rPh>
    <rPh sb="333" eb="335">
      <t>ビコウ</t>
    </rPh>
    <rPh sb="335" eb="336">
      <t>ラン</t>
    </rPh>
    <rPh sb="338" eb="340">
      <t>ツイキ</t>
    </rPh>
    <rPh sb="340" eb="342">
      <t>ブブン</t>
    </rPh>
    <rPh sb="358" eb="360">
      <t>ホンダ</t>
    </rPh>
    <rPh sb="361" eb="363">
      <t>ヨウキュウ</t>
    </rPh>
    <rPh sb="363" eb="365">
      <t>ジコウ</t>
    </rPh>
    <rPh sb="366" eb="368">
      <t>コウシン</t>
    </rPh>
    <rPh sb="632" eb="634">
      <t>ホンダ</t>
    </rPh>
    <rPh sb="635" eb="638">
      <t>カクジョウホウ</t>
    </rPh>
    <rPh sb="639" eb="641">
      <t>カダイ</t>
    </rPh>
    <rPh sb="641" eb="643">
      <t>ケントウ</t>
    </rPh>
    <rPh sb="644" eb="646">
      <t>ケッカ</t>
    </rPh>
    <rPh sb="647" eb="649">
      <t>レイワ</t>
    </rPh>
    <rPh sb="650" eb="652">
      <t>ネンド</t>
    </rPh>
    <rPh sb="652" eb="654">
      <t>カイハツ</t>
    </rPh>
    <rPh sb="654" eb="656">
      <t>アンケン</t>
    </rPh>
    <rPh sb="659" eb="661">
      <t>シンキ</t>
    </rPh>
    <rPh sb="661" eb="663">
      <t>キヒョウ</t>
    </rPh>
    <phoneticPr fontId="2"/>
  </si>
  <si>
    <t>臨床情報一覧のPDFレイアウトの変更に伴い、必要な場合にXMLレイアウトも変更する</t>
    <rPh sb="19" eb="20">
      <t>トモナ</t>
    </rPh>
    <rPh sb="22" eb="24">
      <t>ヒツヨウ</t>
    </rPh>
    <rPh sb="25" eb="27">
      <t>バアイ</t>
    </rPh>
    <rPh sb="37" eb="39">
      <t>ヘンコウ</t>
    </rPh>
    <phoneticPr fontId="2"/>
  </si>
  <si>
    <t>■起票背景
モデル事業を受けて、各情報の課題の検討の中で、傷病名やアレルギー情報の登録方針を作業班等で検討を行う必要がある。
■目的
臨床情報一覧のXMLレイアウトを変更し、各情報の検討結果を反映する</t>
    <rPh sb="1" eb="3">
      <t>キヒョウ</t>
    </rPh>
    <rPh sb="3" eb="5">
      <t>ハイケイ</t>
    </rPh>
    <rPh sb="9" eb="11">
      <t>ジギョウ</t>
    </rPh>
    <rPh sb="12" eb="13">
      <t>ウ</t>
    </rPh>
    <rPh sb="16" eb="19">
      <t>カクジョウホウ</t>
    </rPh>
    <rPh sb="20" eb="22">
      <t>カダイ</t>
    </rPh>
    <rPh sb="23" eb="25">
      <t>ケントウ</t>
    </rPh>
    <rPh sb="26" eb="27">
      <t>ナカ</t>
    </rPh>
    <rPh sb="29" eb="31">
      <t>ショウビョウ</t>
    </rPh>
    <rPh sb="31" eb="32">
      <t>メイ</t>
    </rPh>
    <rPh sb="38" eb="40">
      <t>ジョウホウ</t>
    </rPh>
    <rPh sb="41" eb="43">
      <t>トウロク</t>
    </rPh>
    <rPh sb="43" eb="45">
      <t>ホウシン</t>
    </rPh>
    <rPh sb="46" eb="49">
      <t>サギョウハン</t>
    </rPh>
    <rPh sb="49" eb="50">
      <t>トウ</t>
    </rPh>
    <rPh sb="51" eb="53">
      <t>ケントウ</t>
    </rPh>
    <rPh sb="54" eb="55">
      <t>オコナ</t>
    </rPh>
    <rPh sb="56" eb="58">
      <t>ヒツヨウ</t>
    </rPh>
    <rPh sb="63" eb="66">
      <t>シカクモクテキ</t>
    </rPh>
    <rPh sb="67" eb="69">
      <t>リンショウ</t>
    </rPh>
    <rPh sb="69" eb="71">
      <t>ジョウホウ</t>
    </rPh>
    <rPh sb="71" eb="73">
      <t>イチラン</t>
    </rPh>
    <rPh sb="83" eb="85">
      <t>ヘンコウ</t>
    </rPh>
    <rPh sb="87" eb="90">
      <t>カクジョウホウ</t>
    </rPh>
    <rPh sb="91" eb="93">
      <t>ケントウ</t>
    </rPh>
    <rPh sb="93" eb="95">
      <t>ケッカ</t>
    </rPh>
    <rPh sb="96" eb="98">
      <t>ハンエイ</t>
    </rPh>
    <phoneticPr fontId="2"/>
  </si>
  <si>
    <t>影響あり(仕様による)</t>
    <rPh sb="0" eb="2">
      <t>エイキョウ</t>
    </rPh>
    <rPh sb="5" eb="7">
      <t>シヨウ</t>
    </rPh>
    <phoneticPr fontId="2"/>
  </si>
  <si>
    <r>
      <rPr>
        <sz val="11"/>
        <color rgb="FF000000"/>
        <rFont val="Meiryo UI"/>
        <family val="3"/>
        <charset val="128"/>
      </rPr>
      <t>機能：医療機関向け臨床情報XMLレイアウト・マイナポータル向け臨床情報XML帳票出力
内容：臨床情報一覧のXMLレイアウトを変更する
【医療機関向け】
・項目名称・項目説明の変更：傷病名の「病名開始日」について「診療開始日」に表記を変更　
・項目説明の修正：傷病名の「臨床的状態」の項目説明を「「存続」、「寛解」、「軽快または治癒」、「不明」のいずれかが入る」に修正(案件#145関連)
・備考の追記：</t>
    </r>
    <r>
      <rPr>
        <strike/>
        <sz val="11"/>
        <color rgb="FFFF0000"/>
        <rFont val="Meiryo UI"/>
        <family val="3"/>
        <charset val="128"/>
      </rPr>
      <t>その他アレルギー等</t>
    </r>
    <r>
      <rPr>
        <sz val="11"/>
        <color rgb="FFFF0000"/>
        <rFont val="Meiryo UI"/>
        <family val="3"/>
        <charset val="128"/>
      </rPr>
      <t>傷病名</t>
    </r>
    <r>
      <rPr>
        <sz val="11"/>
        <color rgb="FF000000"/>
        <rFont val="Meiryo UI"/>
        <family val="3"/>
        <charset val="128"/>
      </rPr>
      <t xml:space="preserve">の「未告知フラグ」について「PDF帳票上、「告知状況」である」旨を記載
・改修事項：その他アレルギー等の「カテゴリ」は、カラムはそのままであるが、何も表示をしないように改修する
・備考の追記：その他アレルギー等について「PDF帳票上、「アレルギー物質」である」旨を記載
・改修事項：感染症に「患者閲覧可否」項目を追加する
</t>
    </r>
    <r>
      <rPr>
        <sz val="11"/>
        <color rgb="FFFF0000"/>
        <rFont val="Meiryo UI"/>
        <family val="3"/>
        <charset val="128"/>
      </rPr>
      <t xml:space="preserve">・備考の追記：処方情報において「「電子処方箋が院内処方を取り扱う制度設計となったことから、処方情報を診療情報提供書・退院時サマリーから抽出し臨床情報として共有する方式を廃止。これにより、処方情報群には情報が表示されない。」旨を記載
</t>
    </r>
    <r>
      <rPr>
        <sz val="11"/>
        <color rgb="FF000000"/>
        <rFont val="Meiryo UI"/>
        <family val="3"/>
        <charset val="128"/>
      </rPr>
      <t xml:space="preserve">
【マイナポータル向け(臨床情報)】
・項目名称・項目説明の変更：傷病名の「病名開始日」について「診療開始日」に表記を変更</t>
    </r>
    <r>
      <rPr>
        <sz val="11"/>
        <color rgb="FFFF0000"/>
        <rFont val="Meiryo UI"/>
        <family val="3"/>
        <charset val="128"/>
      </rPr>
      <t xml:space="preserve">　(※)
</t>
    </r>
    <r>
      <rPr>
        <sz val="11"/>
        <color rgb="FF000000"/>
        <rFont val="Meiryo UI"/>
        <family val="3"/>
        <charset val="128"/>
      </rPr>
      <t>・改修事項：傷病名の終了日はカラムはそのままであるが、何も表示しないように改修</t>
    </r>
    <r>
      <rPr>
        <sz val="11"/>
        <color rgb="FFFF0000"/>
        <rFont val="Meiryo UI"/>
        <family val="3"/>
        <charset val="128"/>
      </rPr>
      <t xml:space="preserve">（※）
</t>
    </r>
    <r>
      <rPr>
        <sz val="11"/>
        <color rgb="FF000000"/>
        <rFont val="Meiryo UI"/>
        <family val="3"/>
        <charset val="128"/>
      </rPr>
      <t>・改修事項：傷病名の転帰状況のカラムはそのままであるが、何も表示しないように改修
・改修事項：その他アレルギーのカテゴリのカラムはそのままであるが、何も表示しないように改修</t>
    </r>
    <r>
      <rPr>
        <sz val="11"/>
        <color rgb="FFFF0000"/>
        <rFont val="Meiryo UI"/>
        <family val="3"/>
        <charset val="128"/>
      </rPr>
      <t>（※）</t>
    </r>
    <r>
      <rPr>
        <sz val="11"/>
        <color rgb="FF000000"/>
        <rFont val="Meiryo UI"/>
        <family val="3"/>
        <charset val="128"/>
      </rPr>
      <t xml:space="preserve"> 
</t>
    </r>
    <r>
      <rPr>
        <sz val="11"/>
        <color rgb="FF0000FF"/>
        <rFont val="Meiryo UI"/>
        <family val="3"/>
        <charset val="128"/>
      </rPr>
      <t>・備考の追記：その他アレルギー等について「PDF帳票上、「アレルギー物質」である」旨を記載
・備考の追記：処方情報において「「電子処方箋が院内処方を取り扱う制度設計となったことから、処方情報を診療情報提供書・退院時サマリーから抽出し臨床情報として共有する方式を廃止。これにより、処方情報群には情報が表示されない。」旨を記載</t>
    </r>
    <r>
      <rPr>
        <sz val="11"/>
        <color rgb="FFFF0000"/>
        <rFont val="Meiryo UI"/>
        <family val="3"/>
        <charset val="128"/>
      </rPr>
      <t xml:space="preserve">
※PHR事業者向けの項目も同様の整理とする
【マイナポータル向け(患者サマリ)】
・改修事項：その他アレルギーのカテゴリのカラムはそのままであるが、何も表示しないように改修（※） 
</t>
    </r>
    <r>
      <rPr>
        <sz val="11"/>
        <color rgb="FF0000FF"/>
        <rFont val="Meiryo UI"/>
        <family val="3"/>
        <charset val="128"/>
      </rPr>
      <t xml:space="preserve">・備考の追記：その他アレルギー等について「PDF帳票上、「アレルギー物質」である」旨を記載
</t>
    </r>
    <r>
      <rPr>
        <sz val="11"/>
        <color rgb="FFFF0000"/>
        <rFont val="Meiryo UI"/>
        <family val="3"/>
        <charset val="128"/>
      </rPr>
      <t xml:space="preserve">※PHR事業者向けの項目も同様の整理とする
</t>
    </r>
    <r>
      <rPr>
        <sz val="11"/>
        <color rgb="FF000000"/>
        <rFont val="Meiryo UI"/>
        <family val="3"/>
        <charset val="128"/>
      </rPr>
      <t xml:space="preserve">
</t>
    </r>
    <r>
      <rPr>
        <sz val="11"/>
        <color rgb="FFFF0000"/>
        <rFont val="Meiryo UI"/>
        <family val="3"/>
        <charset val="128"/>
      </rPr>
      <t xml:space="preserve">基金側より追加要求事項）
 技術解説書との齟齬部分について修正する
</t>
    </r>
    <r>
      <rPr>
        <sz val="11"/>
        <color rgb="FF000000"/>
        <rFont val="Meiryo UI"/>
        <family val="3"/>
        <charset val="128"/>
      </rPr>
      <t xml:space="preserve"> </t>
    </r>
    <r>
      <rPr>
        <sz val="11"/>
        <color rgb="FFFF0000"/>
        <rFont val="Meiryo UI"/>
        <family val="3"/>
        <charset val="128"/>
      </rPr>
      <t>【検査・感染症】
・low.unit と high.unit が同一の場合は、low.unit を省略する。
 ・「Normal」は記述されていても表示しない。</t>
    </r>
    <phoneticPr fontId="2"/>
  </si>
  <si>
    <t>145</t>
    <phoneticPr fontId="2"/>
  </si>
  <si>
    <t>145_01</t>
    <phoneticPr fontId="2"/>
  </si>
  <si>
    <t>臨床情報:傷病名(患者サマリ含む)</t>
    <rPh sb="0" eb="4">
      <t>リンショウジョウホウ</t>
    </rPh>
    <rPh sb="5" eb="7">
      <t>ショウビョウ</t>
    </rPh>
    <rPh sb="7" eb="8">
      <t>メイ</t>
    </rPh>
    <rPh sb="9" eb="11">
      <t>カンジャ</t>
    </rPh>
    <rPh sb="14" eb="15">
      <t>フク</t>
    </rPh>
    <phoneticPr fontId="2"/>
  </si>
  <si>
    <t>傷病名のClinicalstatus(転帰区分)の表示名称の日本語修正</t>
    <rPh sb="0" eb="3">
      <t>ショウビョウメイ</t>
    </rPh>
    <rPh sb="19" eb="23">
      <t>テンキクブン</t>
    </rPh>
    <rPh sb="25" eb="27">
      <t>ヒョウジ</t>
    </rPh>
    <rPh sb="27" eb="29">
      <t>メイショウ</t>
    </rPh>
    <rPh sb="30" eb="33">
      <t>ニホンゴ</t>
    </rPh>
    <rPh sb="33" eb="35">
      <t>シュウセイ</t>
    </rPh>
    <phoneticPr fontId="2"/>
  </si>
  <si>
    <t>2026/8/10 ACN黒川
(リリース希望時期綺麗化作業)リリース希望時期を「令和8年度秋」から「令和8年度9月」に変更。
2026/6/11 ACN本田　
開発事業者より指摘を受け、対象機能に「オン資の臨床情報詳細画面」を追記
※臨床情報詳細画面でも対応を行わないと、画面上には英語で出力されてしまうため。
2026/5/19 ACN本田
マイナポータル・患者サマリーにおいて転帰区分は表示しないため、要求事項の修正の指摘を基金より受領したため、要求事項を更新
2026/4/27 ACN本田
厚労省スレッドにおける基金との調整により、要求事項は案１で実装する方針となったため、要求事項を更新
2026/2/23 ACN本田
要求事項を更新。また、令和8年度改修においては傷病名の修正のみとなったため、適切な案件名称に修正。
2026/2/2 ACN本田
残課題の検討の結果、要求事項１－要件②を削除することとなったため、要件を修正
2025/12/15 ACN本田
患者サマリーも本案件の対象であることから、案件区分・対象業務を更新
2025/12/8 ACN 本田
令和8年度中に改修する全国プラットホーム系の案件と、令和8年度秋にリリースする電カル共有の案件の区別をつけるため、リリース希望時期を「令和8年度秋」に変更
2025/11/25 ACN本田
各情報の課題検討の結果、令和8年度開発案件として新規起票</t>
    <rPh sb="78" eb="80">
      <t>ホンダ</t>
    </rPh>
    <rPh sb="82" eb="84">
      <t>カイハツ</t>
    </rPh>
    <rPh sb="84" eb="86">
      <t>ジギョウ</t>
    </rPh>
    <rPh sb="86" eb="87">
      <t>シャ</t>
    </rPh>
    <rPh sb="89" eb="91">
      <t>シテキ</t>
    </rPh>
    <rPh sb="92" eb="93">
      <t>ウ</t>
    </rPh>
    <rPh sb="95" eb="97">
      <t>タイショウ</t>
    </rPh>
    <rPh sb="97" eb="99">
      <t>キノウ</t>
    </rPh>
    <rPh sb="103" eb="104">
      <t>シ</t>
    </rPh>
    <rPh sb="115" eb="117">
      <t>ツイキ</t>
    </rPh>
    <rPh sb="172" eb="174">
      <t>ホンダ</t>
    </rPh>
    <rPh sb="183" eb="185">
      <t>カンジャ</t>
    </rPh>
    <rPh sb="193" eb="195">
      <t>テンキ</t>
    </rPh>
    <rPh sb="195" eb="197">
      <t>クブン</t>
    </rPh>
    <rPh sb="198" eb="200">
      <t>ヒョウジ</t>
    </rPh>
    <rPh sb="206" eb="208">
      <t>ヨウキュウ</t>
    </rPh>
    <rPh sb="208" eb="210">
      <t>ジコウ</t>
    </rPh>
    <rPh sb="211" eb="213">
      <t>シュウセイ</t>
    </rPh>
    <rPh sb="214" eb="216">
      <t>シテキ</t>
    </rPh>
    <rPh sb="217" eb="219">
      <t>キキン</t>
    </rPh>
    <rPh sb="221" eb="223">
      <t>ジュリョウ</t>
    </rPh>
    <rPh sb="228" eb="230">
      <t>ヨウキュウ</t>
    </rPh>
    <rPh sb="230" eb="232">
      <t>ジコウ</t>
    </rPh>
    <rPh sb="233" eb="235">
      <t>コウシン</t>
    </rPh>
    <rPh sb="250" eb="252">
      <t>ホンダ</t>
    </rPh>
    <rPh sb="253" eb="256">
      <t>コウロウショウ</t>
    </rPh>
    <rPh sb="264" eb="266">
      <t>キキン</t>
    </rPh>
    <rPh sb="268" eb="270">
      <t>チョウセイ</t>
    </rPh>
    <rPh sb="274" eb="278">
      <t>ヨウキュウジコウ</t>
    </rPh>
    <rPh sb="279" eb="280">
      <t>アン</t>
    </rPh>
    <rPh sb="282" eb="284">
      <t>ジッソウ</t>
    </rPh>
    <rPh sb="286" eb="288">
      <t>ホウシン</t>
    </rPh>
    <rPh sb="295" eb="299">
      <t>ヨウキュウジコウ</t>
    </rPh>
    <rPh sb="300" eb="302">
      <t>コウシン</t>
    </rPh>
    <rPh sb="317" eb="319">
      <t>ホンダ</t>
    </rPh>
    <rPh sb="320" eb="322">
      <t>ヨウキュウ</t>
    </rPh>
    <rPh sb="322" eb="324">
      <t>ジコウ</t>
    </rPh>
    <rPh sb="325" eb="327">
      <t>コウシン</t>
    </rPh>
    <rPh sb="331" eb="333">
      <t>レイワ</t>
    </rPh>
    <rPh sb="334" eb="336">
      <t>ネンド</t>
    </rPh>
    <rPh sb="336" eb="338">
      <t>カイシュウ</t>
    </rPh>
    <rPh sb="343" eb="345">
      <t>ショウビョウ</t>
    </rPh>
    <rPh sb="345" eb="346">
      <t>メイ</t>
    </rPh>
    <rPh sb="347" eb="349">
      <t>シュウセイ</t>
    </rPh>
    <rPh sb="358" eb="360">
      <t>テキセツ</t>
    </rPh>
    <rPh sb="361" eb="363">
      <t>アンケン</t>
    </rPh>
    <rPh sb="363" eb="365">
      <t>メイショウ</t>
    </rPh>
    <rPh sb="366" eb="368">
      <t>シュウセイ</t>
    </rPh>
    <rPh sb="383" eb="385">
      <t>ホンダ</t>
    </rPh>
    <rPh sb="386" eb="387">
      <t>ザン</t>
    </rPh>
    <rPh sb="387" eb="389">
      <t>カダイ</t>
    </rPh>
    <rPh sb="390" eb="392">
      <t>ケントウ</t>
    </rPh>
    <rPh sb="393" eb="395">
      <t>ケッカ</t>
    </rPh>
    <rPh sb="396" eb="400">
      <t>ヨウキュウジコウ</t>
    </rPh>
    <rPh sb="402" eb="404">
      <t>ヨウケン</t>
    </rPh>
    <rPh sb="406" eb="408">
      <t>サクジョ</t>
    </rPh>
    <rPh sb="419" eb="421">
      <t>ヨウケン</t>
    </rPh>
    <rPh sb="422" eb="424">
      <t>シュウセイ</t>
    </rPh>
    <rPh sb="588" eb="590">
      <t>ホンダ</t>
    </rPh>
    <rPh sb="591" eb="594">
      <t>カクジョウホウ</t>
    </rPh>
    <rPh sb="595" eb="597">
      <t>カダイ</t>
    </rPh>
    <rPh sb="597" eb="599">
      <t>ケントウ</t>
    </rPh>
    <rPh sb="600" eb="602">
      <t>ケッカ</t>
    </rPh>
    <rPh sb="603" eb="605">
      <t>レイワ</t>
    </rPh>
    <rPh sb="606" eb="608">
      <t>ネンド</t>
    </rPh>
    <rPh sb="608" eb="610">
      <t>カイハツ</t>
    </rPh>
    <rPh sb="610" eb="612">
      <t>アンケン</t>
    </rPh>
    <rPh sb="615" eb="617">
      <t>シンキ</t>
    </rPh>
    <rPh sb="617" eb="619">
      <t>キヒョウ</t>
    </rPh>
    <phoneticPr fontId="2"/>
  </si>
  <si>
    <t>現状のConditionリソースのClinicalstatus（active,resolved,remission,unknown）が、電子カルテで設定可能な転帰区分に対応しきれていないため、ConditionリソースのClinicalstatus（active,resolved,remission,unknown）を増やす。</t>
    <rPh sb="0" eb="2">
      <t>ゲンジョウ</t>
    </rPh>
    <rPh sb="84" eb="86">
      <t>タイオウ</t>
    </rPh>
    <rPh sb="160" eb="161">
      <t>フ</t>
    </rPh>
    <phoneticPr fontId="2"/>
  </si>
  <si>
    <t>■起票背景
運用開始目指し、傷病名の登録について改めて見直しを実施した。
■目的
現状のConditionリソースのClinicalstatus（active,resolved,remission,unknown）について適切な日本語名称でないため、適切な日本語名称に変更する。</t>
    <rPh sb="1" eb="5">
      <t>キヒョウハイケイ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</si>
  <si>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傷病名の転帰区分を適切に登録/適切に解釈できないケースが生じる可能性がある。</t>
    <phoneticPr fontId="2"/>
  </si>
  <si>
    <t>・作業班：調整済み</t>
    <rPh sb="1" eb="4">
      <t>サギョウハン</t>
    </rPh>
    <rPh sb="5" eb="7">
      <t>チョウセイ</t>
    </rPh>
    <rPh sb="7" eb="8">
      <t>ズ</t>
    </rPh>
    <phoneticPr fontId="2"/>
  </si>
  <si>
    <r>
      <rPr>
        <sz val="11"/>
        <color rgb="FF000000"/>
        <rFont val="Meiryo UI"/>
        <family val="3"/>
        <charset val="128"/>
      </rPr>
      <t>要求事項１
機能：臨床情報閲覧機能(医療機関向けXML・PDF、マイナポータル向けXML・PDF、患者サマリーXML・PDF)
内容：
要求事項①臨床情報一覧上の傷病名のClinialStatusのステータスについて、一部のステータスを変更する。remission:(旧)軽快→(新)寛解
resolved：(旧)治癒→(新)軽快または治癒
実装方法（※厚労省の希望としては、案１＞案２＞案３の順であるが、基金とフィージビリティと改修費用を確認。）
案１
・要求事項その１
機能：電子カルテ情報共有サービスからオンライン資格確認等システムへの連携機能
内容：傷病名の転帰区分を日本語に変換せず、英語のまま電子カルテ情報共有サービスからオンライン資格確認等システムへ連携する。
・要求事項その２
機能：臨床情報管理DB
内容：臨床情報管理DBに既に保存されている日本語の傷病名の転帰区分を全て英語に修正する。
・要求事項その３
機能：臨床情報閲覧機能(医療機関向けXML・PDF、資</t>
    </r>
    <r>
      <rPr>
        <b/>
        <sz val="11"/>
        <color rgb="FFFF0000"/>
        <rFont val="Meiryo UI"/>
        <family val="3"/>
        <charset val="128"/>
      </rPr>
      <t>格確認端末(および医療情報閲覧端末)の臨床情報詳細画面マ</t>
    </r>
    <r>
      <rPr>
        <strike/>
        <sz val="11"/>
        <color rgb="FFFF0000"/>
        <rFont val="Meiryo UI"/>
        <family val="3"/>
        <charset val="128"/>
      </rPr>
      <t xml:space="preserve">イナポータル向けXML・PDF、患者サマリーXML・PDF)
</t>
    </r>
    <r>
      <rPr>
        <sz val="11"/>
        <color rgb="FF000000"/>
        <rFont val="Meiryo UI"/>
        <family val="3"/>
        <charset val="128"/>
      </rPr>
      <t xml:space="preserve">内容：臨床情報一覧出力時に、傷病名の転帰区分を英語→日本語に変換する。
</t>
    </r>
    <r>
      <rPr>
        <strike/>
        <sz val="11"/>
        <color rgb="FFFF0000"/>
        <rFont val="Meiryo UI"/>
        <family val="3"/>
        <charset val="128"/>
      </rPr>
      <t>案2
・要求事項その１
機能：電子カルテ情報共有サービスからオンライン資格確認等システムへの連携機能
内容：傷病名の転帰区分を上記目的①に合わせて英語→日本語に変換して電子カルテ情報共有サービスからオンライン資格確認等システムへ連携する。
・要求事項その２
機能：臨床情報管理DB
内容：臨床情報管理DBに既に保存されている傷病名の転帰区分を上記目的①に合わせて修正する。
案３
・要求事項その１
機能：臨床情報閲覧機能(医療機関向けXML・PDF、マイナポータル向けXML・PDF、患者サマリーXML・PDF)
内容：臨床情報一覧出力時に、傷病名の転帰区分を上記目的①に合わせて適切に変換する。</t>
    </r>
    <phoneticPr fontId="2"/>
  </si>
  <si>
    <t>145</t>
  </si>
  <si>
    <t>145_02</t>
    <phoneticPr fontId="2"/>
  </si>
  <si>
    <t>傷病名のClinicalstatus(転帰区分)の表示名称の修正</t>
    <rPh sb="0" eb="2">
      <t>ショウビョウ</t>
    </rPh>
    <rPh sb="2" eb="3">
      <t>メイ</t>
    </rPh>
    <rPh sb="19" eb="21">
      <t>テンキ</t>
    </rPh>
    <rPh sb="21" eb="23">
      <t>クブン</t>
    </rPh>
    <rPh sb="25" eb="27">
      <t>ヒョウジ</t>
    </rPh>
    <rPh sb="27" eb="29">
      <t>メイショウ</t>
    </rPh>
    <rPh sb="30" eb="32">
      <t>シュウセイ</t>
    </rPh>
    <phoneticPr fontId="2"/>
  </si>
  <si>
    <t>2026/8/10 ACN黒川
(リリース希望時期綺麗化作業)リリース希望時期を「令和8年度秋」から「取り下げ」に変更。
2026/2/23 ACN本田
要求事項を更新した結果、本行は不要となったため削除。
2025/12/15 ACN本田
患者サマリーも本案件の対象であることから、案件区分・対象業務を更新
2025/12/8 ACN 本田
令和8年度中に改修する全国プラットホーム系の案件と、令和8年度秋にリリースする電カル共有の案件の区別をつけるため、リリース希望時期を「令和8年度秋」に変更
2025/11/25 ACN本田
各情報の課題検討の結果、令和8年度開発案件として新規起票</t>
    <rPh sb="51" eb="52">
      <t>ト</t>
    </rPh>
    <rPh sb="53" eb="54">
      <t>サ</t>
    </rPh>
    <rPh sb="87" eb="89">
      <t>ケッカ</t>
    </rPh>
    <rPh sb="90" eb="92">
      <t>ホンギョウ</t>
    </rPh>
    <rPh sb="93" eb="95">
      <t>フヨウ</t>
    </rPh>
    <rPh sb="101" eb="103">
      <t>サクジョ</t>
    </rPh>
    <rPh sb="268" eb="270">
      <t>ホンダ</t>
    </rPh>
    <rPh sb="271" eb="274">
      <t>カクジョウホウ</t>
    </rPh>
    <rPh sb="275" eb="277">
      <t>カダイ</t>
    </rPh>
    <rPh sb="277" eb="279">
      <t>ケントウ</t>
    </rPh>
    <rPh sb="280" eb="282">
      <t>ケッカ</t>
    </rPh>
    <rPh sb="283" eb="285">
      <t>レイワ</t>
    </rPh>
    <rPh sb="286" eb="288">
      <t>ネンド</t>
    </rPh>
    <rPh sb="288" eb="290">
      <t>カイハツ</t>
    </rPh>
    <rPh sb="290" eb="292">
      <t>アンケン</t>
    </rPh>
    <rPh sb="295" eb="297">
      <t>シンキ</t>
    </rPh>
    <rPh sb="297" eb="299">
      <t>キヒョウ</t>
    </rPh>
    <phoneticPr fontId="2"/>
  </si>
  <si>
    <t>本行は削除</t>
    <rPh sb="0" eb="2">
      <t>ホンギョウ</t>
    </rPh>
    <rPh sb="3" eb="5">
      <t>サクジョ</t>
    </rPh>
    <phoneticPr fontId="2"/>
  </si>
  <si>
    <t>要求事項１
機能：臨床情報閲覧機能(医療機関向けXML・PDF、マイナポータル向けXML・PDF、患者サマリーXML・PDF)
内容：
要求事項①臨床情報一覧上の傷病名のClinialStatusのステータスについて、一部のステータスを変更する。
remission:(旧)軽快→(新)寛解
resolved：(旧)治癒→(新)軽快または治癒
実装方法（※厚労省の希望としては、案１＞案２＞案３の順であるが、基金とフィージビリティと改修費用を確認。）
案１
・要求事項その１
機能：電子カルテ情報共有サービスからオンライン資格確認等システムへの連携機能
内容：傷病名の転帰区分を日本語に変換せず、英語のまま電子カルテ情報共有サービスからオンライン資格確認等システムへ連携する。
・要求事項その２
機能：臨床情報管理DB
内容：臨床情報管理DBに既に保存されている日本語の傷病名の転帰区分を全て英語に修正する。
・要求事項その３
機能：臨床情報閲覧機能(医療機関向けXML・PDF、マイナポータル向けXML・PDF、患者サマリーXML・PDF)
内容：臨床情報一覧出力時に、傷病名の転帰区分を英語→日本語に変換する。
案2
・要求事項その１
機能：電子カルテ情報共有サービスからオンライン資格確認等システムへの連携機能
内容：傷病名の転帰区分を上記目的①に合わせて英語→日本語に変換して電子カルテ情報共有サービスからオンライン資格確認等システムへ連携する。
・要求事項その２
機能：臨床情報管理DB
内容：臨床情報管理DBに既に保存されている傷病名の転帰区分を上記目的①に合わせて修正する。
案３
・要求事項その１
機能：臨床情報閲覧機能(医療機関向けXML・PDF、マイナポータル向けXML・PDF、患者サマリーXML・PDF)
内容：臨床情報一覧出力時に、傷病名の転帰区分を上記目的①に合わせて適切に変換する。</t>
    <phoneticPr fontId="2"/>
  </si>
  <si>
    <t>146</t>
  </si>
  <si>
    <t>146_01</t>
    <phoneticPr fontId="2"/>
  </si>
  <si>
    <t>臨床情報:感染症・検査</t>
    <rPh sb="0" eb="2">
      <t>リンショウ</t>
    </rPh>
    <rPh sb="2" eb="4">
      <t>ジョウホウ</t>
    </rPh>
    <phoneticPr fontId="2"/>
  </si>
  <si>
    <t>感染症のマイナポータルにおける表示タイミング調整</t>
    <rPh sb="15" eb="17">
      <t>ヒョウジ</t>
    </rPh>
    <phoneticPr fontId="2"/>
  </si>
  <si>
    <t>2026/8/10 ACN黒川
(リリース希望時期綺麗化作業)リリース希望時期を「令和8年度秋」から「令和8年度9月」に変更。
2026/4/27 ACN本田
感染症のフラグ名称は、「患者共有フラグ」となったため、要求事項を更新
2026/2/23 ACN本田
要求事項を更新
2025/12/8 ACN 本田
令和8年度中に改修する全国プラットホーム系の案件と、令和8年度秋にリリースする電カル共有の案件の区別をつけるため、リリース希望時期を「令和8年度秋」に変更
2025/11/25 ACN本田
各情報の課題検討の結果、令和8年度開発案件として新規起票</t>
    <rPh sb="78" eb="80">
      <t>ホンダ</t>
    </rPh>
    <rPh sb="81" eb="84">
      <t>カンセンショウ</t>
    </rPh>
    <rPh sb="88" eb="90">
      <t>メイショウ</t>
    </rPh>
    <rPh sb="93" eb="95">
      <t>カンジャ</t>
    </rPh>
    <rPh sb="95" eb="97">
      <t>キョウユウ</t>
    </rPh>
    <rPh sb="108" eb="112">
      <t>ヨウキュウジコウ</t>
    </rPh>
    <rPh sb="113" eb="115">
      <t>コウシン</t>
    </rPh>
    <rPh sb="130" eb="132">
      <t>ホンダ</t>
    </rPh>
    <rPh sb="133" eb="137">
      <t>ヨウキュウジコウ</t>
    </rPh>
    <rPh sb="138" eb="140">
      <t>コウシン</t>
    </rPh>
    <rPh sb="252" eb="254">
      <t>ホンダ</t>
    </rPh>
    <rPh sb="255" eb="258">
      <t>カクジョウホウ</t>
    </rPh>
    <rPh sb="259" eb="261">
      <t>カダイ</t>
    </rPh>
    <rPh sb="261" eb="263">
      <t>ケントウ</t>
    </rPh>
    <rPh sb="264" eb="266">
      <t>ケッカ</t>
    </rPh>
    <rPh sb="267" eb="269">
      <t>レイワ</t>
    </rPh>
    <rPh sb="270" eb="272">
      <t>ネンド</t>
    </rPh>
    <rPh sb="272" eb="274">
      <t>カイハツ</t>
    </rPh>
    <rPh sb="274" eb="276">
      <t>アンケン</t>
    </rPh>
    <rPh sb="279" eb="281">
      <t>シンキ</t>
    </rPh>
    <rPh sb="281" eb="283">
      <t>キヒョウ</t>
    </rPh>
    <phoneticPr fontId="2"/>
  </si>
  <si>
    <t>感染症情報の患者説明期間を取るため、感染症情報の登録後、一定期間たった後に、マイナポータルで表示されるようにする仕組みを構築する。
※全国の医療機関に対しては特段制御をせず、現状のまま（登録後、すぐ結果を閲覧可能）</t>
    <rPh sb="0" eb="5">
      <t>カンセンショウジョウホウ</t>
    </rPh>
    <rPh sb="6" eb="12">
      <t>カンジャセツメイキカン</t>
    </rPh>
    <rPh sb="13" eb="14">
      <t>ト</t>
    </rPh>
    <rPh sb="18" eb="23">
      <t>カンセンショウジョウホウ</t>
    </rPh>
    <rPh sb="24" eb="26">
      <t>トウロク</t>
    </rPh>
    <rPh sb="26" eb="27">
      <t>ゴ</t>
    </rPh>
    <rPh sb="28" eb="30">
      <t>イッテイ</t>
    </rPh>
    <rPh sb="30" eb="32">
      <t>キカン</t>
    </rPh>
    <rPh sb="35" eb="36">
      <t>アト</t>
    </rPh>
    <rPh sb="46" eb="48">
      <t>ヒョウジ</t>
    </rPh>
    <rPh sb="56" eb="58">
      <t>シク</t>
    </rPh>
    <rPh sb="60" eb="62">
      <t>コウチク</t>
    </rPh>
    <rPh sb="67" eb="69">
      <t>ゼンコク</t>
    </rPh>
    <rPh sb="70" eb="74">
      <t>イリョウキカン</t>
    </rPh>
    <rPh sb="75" eb="76">
      <t>タイ</t>
    </rPh>
    <rPh sb="79" eb="83">
      <t>トクダンセイギョ</t>
    </rPh>
    <rPh sb="87" eb="89">
      <t>ゲンジョウ</t>
    </rPh>
    <rPh sb="99" eb="101">
      <t>ケッカ</t>
    </rPh>
    <rPh sb="102" eb="106">
      <t>エツランカノウ</t>
    </rPh>
    <phoneticPr fontId="2"/>
  </si>
  <si>
    <t>■起票背景
感染症情報は、患者に告知した後に本サービスに登録する運用を求めており、説明済みであることをシステム側で認知するためのボタンを作るなど、電子カルテ側で改修を行ってもらっている。
■目的
感染症情報については結果がが医療機関システムに反映され次第、医療機関に共有することとし、
一方で、患者へ結果を説明済であることが医療機関システムに反映され次第、患者に共有できるようにする。</t>
    <rPh sb="0" eb="5">
      <t>シカクキヒョウハイケイ</t>
    </rPh>
    <rPh sb="94" eb="97">
      <t>シカクモクテキ</t>
    </rPh>
    <rPh sb="147" eb="149">
      <t>カンジャ</t>
    </rPh>
    <rPh sb="178" eb="180">
      <t>カンジャ</t>
    </rPh>
    <rPh sb="181" eb="183">
      <t>キョウユウ</t>
    </rPh>
    <phoneticPr fontId="2"/>
  </si>
  <si>
    <t>感染症情報については結果がが医療機関システムに反映され次第、医療機関に共有できる。また、患者へ結果を説明済であることが医療機関システムに反映され次第、患者に共有できる。</t>
    <phoneticPr fontId="2"/>
  </si>
  <si>
    <t>・作業班：調整中
・大江先生：調整中</t>
    <rPh sb="1" eb="4">
      <t>サギョウハン</t>
    </rPh>
    <rPh sb="5" eb="8">
      <t>チョウセイチュウ</t>
    </rPh>
    <rPh sb="10" eb="14">
      <t>オオエセンセイ</t>
    </rPh>
    <rPh sb="15" eb="18">
      <t>チョウセイチュウ</t>
    </rPh>
    <phoneticPr fontId="2"/>
  </si>
  <si>
    <t>臨床情報の閲覧</t>
    <rPh sb="0" eb="2">
      <t>リンショウ</t>
    </rPh>
    <rPh sb="2" eb="4">
      <t>ジョウホウ</t>
    </rPh>
    <rPh sb="5" eb="7">
      <t>エツラン</t>
    </rPh>
    <phoneticPr fontId="2"/>
  </si>
  <si>
    <r>
      <rPr>
        <sz val="11"/>
        <color rgb="FF000000"/>
        <rFont val="Meiryo UI"/>
        <family val="3"/>
        <charset val="128"/>
      </rPr>
      <t>機能：臨床情報閲覧機能(マイナポータル)
内容：</t>
    </r>
    <r>
      <rPr>
        <strike/>
        <sz val="11"/>
        <color rgb="FFFF0000"/>
        <rFont val="Meiryo UI"/>
        <family val="3"/>
        <charset val="128"/>
      </rPr>
      <t>「患者に共有可」のフラグ</t>
    </r>
    <r>
      <rPr>
        <sz val="11"/>
        <color rgb="FFFF0000"/>
        <rFont val="Meiryo UI"/>
        <family val="3"/>
        <charset val="128"/>
      </rPr>
      <t>「患者共有」フラグ</t>
    </r>
    <r>
      <rPr>
        <sz val="11"/>
        <color rgb="FF000000"/>
        <rFont val="Meiryo UI"/>
        <family val="3"/>
        <charset val="128"/>
      </rPr>
      <t>(※)がついている感染症情報についてのみ、マイナポータルに連携する。フラグがついていないものは医療機関にのみ共有する。
備考：
次回のプロファイル更新時に、Observationリソースにおいて、meta.tag要素を記述することで、１Observationリソースごとに「患者に共有可」のフラグを付与できる仕様　※傷病名の「未告知フラグ」と同様の仕組みを追加する</t>
    </r>
    <phoneticPr fontId="2"/>
  </si>
  <si>
    <t>147</t>
  </si>
  <si>
    <t>147_01</t>
    <phoneticPr fontId="2"/>
  </si>
  <si>
    <t>検査・感染症情報の単位チェック変更(JLAC10コードのチェックロジック変更)</t>
    <rPh sb="0" eb="2">
      <t>ケンサ</t>
    </rPh>
    <rPh sb="3" eb="6">
      <t>カンセンショウ</t>
    </rPh>
    <rPh sb="6" eb="8">
      <t>ジョウホウ</t>
    </rPh>
    <rPh sb="9" eb="11">
      <t>タンイ</t>
    </rPh>
    <rPh sb="15" eb="17">
      <t>ヘンコウ</t>
    </rPh>
    <rPh sb="36" eb="38">
      <t>ヘンコウ</t>
    </rPh>
    <phoneticPr fontId="2"/>
  </si>
  <si>
    <t>2026/8/10 ACN黒川
(リリース希望時期綺麗化作業)リリース希望時期を「令和8年度秋」から「令和8年度9月」に変更。
2026/2/2 ACN本田
要求事項の内容を追記
2026/1/26 ACN 本田
要件の記載内容を修正。
2025/12/8 ACN 本田
令和8年度中に改修する全国プラットホーム系の案件と、令和8年度秋にリリースする電カル共有の案件の区別をつけるため、リリース希望時期を「令和8年度秋」に変更
2025/11/25 ACN本田
各情報の課題検討の結果、令和8年度開発案件として新規起票F46</t>
    <phoneticPr fontId="2"/>
  </si>
  <si>
    <t>検査ごとに検査の単位を統一せず、試薬や機器を利用して得られた結果値と単位をそのまま登録できるようにするという方針に基づき、JLACコード表に試薬や機器を利用して得られる単位を全て収載する。JLAC10で情報登録された場合はJLACコード表中の当該コードに対する単位であるかをチェックする（複数コード・単位が該当する）仕組みを構築する。
※JLAC11で情報登録された場合は現状のままJLACコード表に指定された単位チェックを行う。（1コード1単位が該当）</t>
    <rPh sb="0" eb="2">
      <t>ケンサ</t>
    </rPh>
    <rPh sb="5" eb="7">
      <t>ケンサ</t>
    </rPh>
    <rPh sb="8" eb="10">
      <t>タンイ</t>
    </rPh>
    <rPh sb="11" eb="13">
      <t>トウイツ</t>
    </rPh>
    <rPh sb="16" eb="18">
      <t>シヤク</t>
    </rPh>
    <rPh sb="19" eb="21">
      <t>キキ</t>
    </rPh>
    <rPh sb="22" eb="24">
      <t>リヨウ</t>
    </rPh>
    <rPh sb="26" eb="27">
      <t>エ</t>
    </rPh>
    <rPh sb="30" eb="32">
      <t>ケッカ</t>
    </rPh>
    <rPh sb="32" eb="33">
      <t>チ</t>
    </rPh>
    <rPh sb="34" eb="36">
      <t>タンイ</t>
    </rPh>
    <rPh sb="41" eb="43">
      <t>トウロク</t>
    </rPh>
    <rPh sb="54" eb="56">
      <t>ホウシン</t>
    </rPh>
    <rPh sb="57" eb="58">
      <t>モト</t>
    </rPh>
    <rPh sb="68" eb="69">
      <t>ヒョウ</t>
    </rPh>
    <rPh sb="84" eb="86">
      <t>タンイ</t>
    </rPh>
    <rPh sb="87" eb="88">
      <t>スベ</t>
    </rPh>
    <rPh sb="89" eb="91">
      <t>シュウサイ</t>
    </rPh>
    <rPh sb="101" eb="105">
      <t>ジョウホウトウロク</t>
    </rPh>
    <rPh sb="108" eb="110">
      <t>バアイ</t>
    </rPh>
    <rPh sb="118" eb="120">
      <t>ヒョウチュウ</t>
    </rPh>
    <rPh sb="121" eb="123">
      <t>トウガイ</t>
    </rPh>
    <rPh sb="127" eb="128">
      <t>タイ</t>
    </rPh>
    <rPh sb="130" eb="132">
      <t>タンイ</t>
    </rPh>
    <rPh sb="144" eb="146">
      <t>フクスウ</t>
    </rPh>
    <rPh sb="150" eb="152">
      <t>タンイ</t>
    </rPh>
    <rPh sb="153" eb="155">
      <t>ガイトウ</t>
    </rPh>
    <rPh sb="158" eb="160">
      <t>シク</t>
    </rPh>
    <rPh sb="162" eb="164">
      <t>コウチク</t>
    </rPh>
    <rPh sb="176" eb="180">
      <t>ジョウホウトウロク</t>
    </rPh>
    <rPh sb="183" eb="185">
      <t>バアイ</t>
    </rPh>
    <rPh sb="186" eb="188">
      <t>ゲンジョウ</t>
    </rPh>
    <rPh sb="198" eb="199">
      <t>ヒョウ</t>
    </rPh>
    <rPh sb="200" eb="202">
      <t>シテイ</t>
    </rPh>
    <rPh sb="205" eb="207">
      <t>タンイ</t>
    </rPh>
    <rPh sb="212" eb="213">
      <t>オコナ</t>
    </rPh>
    <rPh sb="221" eb="223">
      <t>タンイ</t>
    </rPh>
    <rPh sb="224" eb="226">
      <t>ガイトウ</t>
    </rPh>
    <phoneticPr fontId="2"/>
  </si>
  <si>
    <t>■起票背景
本サービスでは、１検査項目に対して登録できる単位を１単位に絞る方針としていた。しかし、医療機関側の単位変換の手間や、受診時の患者向けの説明内容とマイナポ画面で見られる検査結果の単位違いについての懸念から、検査ごとに検査の単位を統一せず、試薬や機器を利用して得られた結果値と単位をそのまま登録できるようにするという方針となった。
■目的
試薬や機器を利用して得られた結果値と単位をそのまま登録できるようにする</t>
    <rPh sb="0" eb="5">
      <t>シカクキヒョウハイケイ</t>
    </rPh>
    <rPh sb="49" eb="51">
      <t>イリョウ</t>
    </rPh>
    <rPh sb="51" eb="53">
      <t>キカン</t>
    </rPh>
    <rPh sb="53" eb="54">
      <t>ガワ</t>
    </rPh>
    <rPh sb="55" eb="59">
      <t>タンイヘンカン</t>
    </rPh>
    <rPh sb="60" eb="62">
      <t>テマ</t>
    </rPh>
    <rPh sb="64" eb="67">
      <t>ジュシンジ</t>
    </rPh>
    <rPh sb="68" eb="71">
      <t>カンジャム</t>
    </rPh>
    <rPh sb="73" eb="75">
      <t>セツメイ</t>
    </rPh>
    <rPh sb="75" eb="77">
      <t>ナイヨウ</t>
    </rPh>
    <rPh sb="82" eb="84">
      <t>ガメン</t>
    </rPh>
    <rPh sb="85" eb="86">
      <t>ミ</t>
    </rPh>
    <rPh sb="89" eb="93">
      <t>ケンサケッカ</t>
    </rPh>
    <rPh sb="94" eb="97">
      <t>タンイチガ</t>
    </rPh>
    <rPh sb="103" eb="105">
      <t>ケネン</t>
    </rPh>
    <rPh sb="170" eb="173">
      <t>シカクモクテキ</t>
    </rPh>
    <phoneticPr fontId="2"/>
  </si>
  <si>
    <t>・JLACセンター：調整済み
・マイナポータル：</t>
    <rPh sb="10" eb="12">
      <t>チョウセイ</t>
    </rPh>
    <rPh sb="12" eb="13">
      <t>ズ</t>
    </rPh>
    <phoneticPr fontId="2"/>
  </si>
  <si>
    <t>検査・感染症の登録</t>
    <rPh sb="0" eb="2">
      <t>ケンサ</t>
    </rPh>
    <rPh sb="3" eb="6">
      <t>カンセンショウ</t>
    </rPh>
    <rPh sb="7" eb="9">
      <t>トウロク</t>
    </rPh>
    <phoneticPr fontId="2"/>
  </si>
  <si>
    <t>機能：文書情報登録/更新・臨床情報登録/更新
内容：
①マスタ内容改修
検査ごとに検査の単位を統一せず、試薬や機器を利用して得られた結果値と単位をそのまま登録できるようにするという方針に基づき、JLAC11コードで利用されうる単位をそのまま登録できるように複数単位をレコード追加の形でJLACマスタに収載する。
②単位チェック改修
マスタに収載した単位をすべて登録できるような仕組みとするため、JLAC10については、コードと単位の関係が1:nとなることを踏まえてチェックができるように改修する。
※イメージ例：JLAC10コード「3H030000002227101」に対して、登録できる単位は「mg/dL、mg/d、mEq/L、mmol/L」とする。
③コードとディスプレイ値チェック改修
新試薬の追加により、測定法問わず/その他測定法のJLAC10・11コード（※）について、コードに対するディスプレイ値(FHIR識別文字列)の関係が1:nとなるものが発生することが分かったため、1つのJLACコードが複数のFHIR識別文字列に対し、採番されている場合にも登録できるようなコードとディスプレイ値チェックの仕組みに改修する。　※いわゆる検査試薬を特定せずに、測定物・材料や単位だけ分かれば使える各検査項目ごとのダミーコード</t>
    <phoneticPr fontId="2"/>
  </si>
  <si>
    <t>148</t>
  </si>
  <si>
    <t>148_01</t>
    <phoneticPr fontId="2"/>
  </si>
  <si>
    <t>本サービス対象施設種別の追加（訪問看護ステーションによる健診文書・臨床情報閲覧）</t>
    <rPh sb="0" eb="1">
      <t>ホン</t>
    </rPh>
    <rPh sb="5" eb="9">
      <t>タイショウシセツ</t>
    </rPh>
    <rPh sb="9" eb="11">
      <t>シュベツ</t>
    </rPh>
    <rPh sb="12" eb="14">
      <t>ツイカ</t>
    </rPh>
    <rPh sb="28" eb="32">
      <t>ケンシンブンショ</t>
    </rPh>
    <rPh sb="33" eb="35">
      <t>リンショウ</t>
    </rPh>
    <rPh sb="35" eb="37">
      <t>ジョウホウ</t>
    </rPh>
    <rPh sb="37" eb="39">
      <t>エツラン</t>
    </rPh>
    <phoneticPr fontId="2"/>
  </si>
  <si>
    <r>
      <rPr>
        <sz val="11"/>
        <color rgb="FFFF0000"/>
        <rFont val="Meiryo UI"/>
        <family val="3"/>
        <charset val="128"/>
      </rPr>
      <t xml:space="preserve">2026/9/25 ACN黒川
・厚労省での検討の結果、リリース希望時期を令和9年度以降から令和9年度に変更。
・起票背景、要求事項等を追記。
</t>
    </r>
    <r>
      <rPr>
        <sz val="11"/>
        <color theme="1"/>
        <rFont val="Meiryo UI"/>
        <family val="3"/>
        <charset val="128"/>
      </rPr>
      <t xml:space="preserve">
2025/11/25 ACN本田
令和9年度開発案件として新規起票</t>
    </r>
    <rPh sb="49" eb="51">
      <t>ネンド</t>
    </rPh>
    <rPh sb="57" eb="59">
      <t>キヒョウ</t>
    </rPh>
    <rPh sb="59" eb="61">
      <t>ハイケイ</t>
    </rPh>
    <rPh sb="62" eb="66">
      <t>ヨウキュウジコウ</t>
    </rPh>
    <rPh sb="66" eb="67">
      <t>トウ</t>
    </rPh>
    <rPh sb="68" eb="70">
      <t>ツイキ</t>
    </rPh>
    <rPh sb="87" eb="89">
      <t>ホンダ</t>
    </rPh>
    <rPh sb="90" eb="92">
      <t>レイワ</t>
    </rPh>
    <rPh sb="93" eb="95">
      <t>ネンド</t>
    </rPh>
    <rPh sb="95" eb="97">
      <t>カイハツ</t>
    </rPh>
    <rPh sb="97" eb="99">
      <t>アンケン</t>
    </rPh>
    <rPh sb="102" eb="104">
      <t>シンキ</t>
    </rPh>
    <rPh sb="104" eb="106">
      <t>キヒョウ</t>
    </rPh>
    <phoneticPr fontId="2"/>
  </si>
  <si>
    <t>訪問看護ステーションで健診文書の取得・閲覧、臨床情報の取得・閲覧ができるようにする</t>
    <rPh sb="0" eb="4">
      <t>ホウモンカンゴ</t>
    </rPh>
    <rPh sb="11" eb="15">
      <t>ケンシンブンショ</t>
    </rPh>
    <rPh sb="16" eb="18">
      <t>シュトク</t>
    </rPh>
    <rPh sb="19" eb="21">
      <t>エツラン</t>
    </rPh>
    <rPh sb="22" eb="26">
      <t>リンショウジョウホウ</t>
    </rPh>
    <rPh sb="27" eb="29">
      <t>シュトク</t>
    </rPh>
    <rPh sb="30" eb="32">
      <t>エツラン</t>
    </rPh>
    <phoneticPr fontId="2"/>
  </si>
  <si>
    <t>■起票背景
現在、訪問看護ステーションでは電子カルテ情報共有サービスを利用できない整理になっている。
■目的
歯科・薬局と同様に訪問看護ステーションにおいて、臨床情報・健診文書を閲覧できるようにする。</t>
    <rPh sb="1" eb="5">
      <t>キヒョウハイケイ</t>
    </rPh>
    <rPh sb="41" eb="43">
      <t>セイリ</t>
    </rPh>
    <rPh sb="53" eb="55">
      <t>モクテキ</t>
    </rPh>
    <phoneticPr fontId="2"/>
  </si>
  <si>
    <t>訪問看護ステーションにおいても、臨床情報・健診文書を閲覧できるようになる。</t>
    <phoneticPr fontId="2"/>
  </si>
  <si>
    <t>・老健局</t>
    <rPh sb="1" eb="4">
      <t>ロウケンキョク</t>
    </rPh>
    <phoneticPr fontId="2"/>
  </si>
  <si>
    <t>機能：アドオンチェック機能
内容：訪問看護ステーション(医療機関等コードの点数表：６)において、電子カルテ情報共有サービスの臨床情報・健診文書の閲覧ができるように改修する。
※なお、利用できる機能は、保険医療機関(歯科)・薬局と同様とする。
備考：
&lt;歯科・薬局によるリクエストを許容する&gt;
　・特定健診情報閲覧要求
　・臨床情報閲覧要求
　・マスタファイル取得要求
　・電カル無し医療情報閲覧(オン資端末)
&lt;歯科・薬局によるリクエストを制御する&gt;
　・健診文書登録情報履歴照会
　・臨床情報登録情報履歴照会要求
　・患者サマリー登録情報履歴照会要求
　・電子カルテ情報共有サービス施設利用状況回答機能
　・文書情報検索(オン資端末)
　・臨床情報検索(オン資端末)</t>
    <rPh sb="122" eb="124">
      <t>ビコウ</t>
    </rPh>
    <phoneticPr fontId="2"/>
  </si>
  <si>
    <t>149</t>
  </si>
  <si>
    <t>149_01</t>
    <phoneticPr fontId="2"/>
  </si>
  <si>
    <t>サービスデザイン</t>
  </si>
  <si>
    <t>「職域診療所」へのサービス導入
(3文書6情報/2文書6情報の登録・閲覧）</t>
    <rPh sb="1" eb="6">
      <t>ショクイキシンリョウジョ</t>
    </rPh>
    <rPh sb="13" eb="15">
      <t>ドウニュウ</t>
    </rPh>
    <rPh sb="18" eb="20">
      <t>ブンショ</t>
    </rPh>
    <rPh sb="21" eb="23">
      <t>ジョウホウ</t>
    </rPh>
    <rPh sb="25" eb="27">
      <t>ブンショ</t>
    </rPh>
    <rPh sb="28" eb="30">
      <t>ジョウホウ</t>
    </rPh>
    <rPh sb="31" eb="33">
      <t>トウロク</t>
    </rPh>
    <rPh sb="34" eb="36">
      <t>エツラン</t>
    </rPh>
    <phoneticPr fontId="2"/>
  </si>
  <si>
    <r>
      <rPr>
        <sz val="11"/>
        <color rgb="FFFF0000"/>
        <rFont val="Meiryo UI"/>
        <family val="3"/>
        <charset val="128"/>
      </rPr>
      <t>2026/9/25 ACN黒川
・厚労省での検討の結果、リリース希望時期を令和9年度以降から令和9年度に変更。
・起票背景、要求事項等を追記。</t>
    </r>
    <r>
      <rPr>
        <sz val="11"/>
        <color theme="1"/>
        <rFont val="Meiryo UI"/>
        <family val="3"/>
        <charset val="128"/>
      </rPr>
      <t xml:space="preserve">
2025/12/8 ACN本田
12/8開発課題検討会にて報告のとおり、職域診療所へのサービス導入は令和9年度開発の方針となった。
リリース希望時期を「令和9年度以降」に変更
2025/11/25 ACN本田
令和8年度開発案件として新規起票</t>
    </r>
    <rPh sb="86" eb="88">
      <t>ホンダ</t>
    </rPh>
    <rPh sb="93" eb="100">
      <t>カイハツカダイケントウカイ</t>
    </rPh>
    <rPh sb="102" eb="104">
      <t>ホウコク</t>
    </rPh>
    <rPh sb="109" eb="114">
      <t>ショクイキシンリョウジョ</t>
    </rPh>
    <rPh sb="120" eb="122">
      <t>ドウニュウ</t>
    </rPh>
    <rPh sb="123" eb="125">
      <t>レイワ</t>
    </rPh>
    <rPh sb="126" eb="128">
      <t>ネンド</t>
    </rPh>
    <rPh sb="128" eb="130">
      <t>カイハツ</t>
    </rPh>
    <rPh sb="131" eb="133">
      <t>ホウシン</t>
    </rPh>
    <rPh sb="143" eb="147">
      <t>キボウジキ</t>
    </rPh>
    <rPh sb="149" eb="151">
      <t>レイワ</t>
    </rPh>
    <rPh sb="152" eb="154">
      <t>ネンド</t>
    </rPh>
    <rPh sb="154" eb="156">
      <t>イコウ</t>
    </rPh>
    <rPh sb="158" eb="160">
      <t>ヘンコウ</t>
    </rPh>
    <rPh sb="176" eb="178">
      <t>ホンダ</t>
    </rPh>
    <rPh sb="179" eb="181">
      <t>レイワ</t>
    </rPh>
    <rPh sb="182" eb="184">
      <t>ネンド</t>
    </rPh>
    <rPh sb="184" eb="186">
      <t>カイハツ</t>
    </rPh>
    <rPh sb="186" eb="188">
      <t>アンケン</t>
    </rPh>
    <rPh sb="191" eb="193">
      <t>シンキ</t>
    </rPh>
    <rPh sb="193" eb="195">
      <t>キヒョウ</t>
    </rPh>
    <phoneticPr fontId="2"/>
  </si>
  <si>
    <t>職域診療所も、保険医療機関（医科）と同様の取り扱いで、本サービスの利用ができるようにする</t>
    <rPh sb="0" eb="5">
      <t>ショクイキシンリョウジョ</t>
    </rPh>
    <rPh sb="7" eb="13">
      <t>ホケンイリョウキカン</t>
    </rPh>
    <rPh sb="14" eb="16">
      <t>イカ</t>
    </rPh>
    <rPh sb="18" eb="20">
      <t>ドウヨウ</t>
    </rPh>
    <rPh sb="21" eb="22">
      <t>ト</t>
    </rPh>
    <rPh sb="23" eb="24">
      <t>アツカ</t>
    </rPh>
    <rPh sb="27" eb="28">
      <t>ホン</t>
    </rPh>
    <rPh sb="33" eb="35">
      <t>リヨウ</t>
    </rPh>
    <phoneticPr fontId="2"/>
  </si>
  <si>
    <t>■起票背景
現在職域診療所は電子カルテ情報共有サービスを利用できない整理になっている。
一方で、職域診療所は保険医療機関ではないが、健康保険法第63条で第2項第3項において職域診療所で行われている診療は保険診療であると定められている。
■目的
職域診療所においても電子カルテ情報共有サービスの利用できるようにする。</t>
    <rPh sb="1" eb="5">
      <t>キヒョウハイケイ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</si>
  <si>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要確認</t>
    <rPh sb="0" eb="3">
      <t>ヨウカクニン</t>
    </rPh>
    <phoneticPr fontId="2"/>
  </si>
  <si>
    <t>文書送受信
健診文書登録・閲覧
臨床情報登録・閲覧
患者サマリー登録</t>
    <rPh sb="0" eb="5">
      <t>ブンショソウジュシン</t>
    </rPh>
    <phoneticPr fontId="2"/>
  </si>
  <si>
    <t>職域診療所(医療機関等コードの点数表：７)において、電子カルテ情報共有サービスの利用ができるように改修する。_x000B_なお、機能に制限はかけず、医療機関(医科)(医療機関等コードの点数表：１）と同様のサービスを利用できるようにする。</t>
    <phoneticPr fontId="2"/>
  </si>
  <si>
    <t>150</t>
  </si>
  <si>
    <t>150_01</t>
    <phoneticPr fontId="2"/>
  </si>
  <si>
    <t>その他</t>
    <rPh sb="2" eb="3">
      <t>タ</t>
    </rPh>
    <phoneticPr fontId="2"/>
  </si>
  <si>
    <t>医療機関等向け総合ポータルサイト改修　各サービスの一括手続き</t>
    <rPh sb="16" eb="18">
      <t>カイシュウ</t>
    </rPh>
    <phoneticPr fontId="2"/>
  </si>
  <si>
    <t xml:space="preserve">2026/8/10 ACN黒川
(リリース希望時期綺麗化作業)リリース希望時期を「令和9年3月末」から「令和8年度3月」に変更。
2026/6/16 基金宮脇
S列リリース希望時期を令和9年3月末へ変更
2026/5/18 基金大野
S列リリース希望時期を令和9年1月初旬へ変更
2025/11/25 ACN本田
令和8年度開発案件として新規起票
</t>
    <rPh sb="44" eb="45">
      <t>ネン</t>
    </rPh>
    <rPh sb="46" eb="47">
      <t>ガツ</t>
    </rPh>
    <rPh sb="47" eb="48">
      <t>マツ</t>
    </rPh>
    <rPh sb="52" eb="54">
      <t>レイワ</t>
    </rPh>
    <rPh sb="55" eb="57">
      <t>ネンド</t>
    </rPh>
    <rPh sb="58" eb="59">
      <t>ガツ</t>
    </rPh>
    <rPh sb="78" eb="80">
      <t>ミヤワキ</t>
    </rPh>
    <rPh sb="98" eb="99">
      <t>マツ</t>
    </rPh>
    <rPh sb="114" eb="118">
      <t>キキンオオノ</t>
    </rPh>
    <phoneticPr fontId="2"/>
  </si>
  <si>
    <t>オン資・電処・電カルについて今後導入を考えている医療機関や新規開設しようとしている医療機関、また、今後の電カル共有サービスの用途拡大を見据えて申請のしやすいポータルサイトにする。
・医療情報等向け総合ポータルサイトで、各サービスにおける「利用申請」「運用開始日登録」のページを統合する。
・各種申請状況ページに利用申請や運用開始日登録ページへ遷移するボタンを付ける。</t>
    <phoneticPr fontId="2"/>
  </si>
  <si>
    <t>■起票背景
医療機関等向け総合ポータルサイトの各種申請は、各サービスごとに分かれており、同様な内容を何度も登録いただくことになっている。
また、今後と医療介護連携やトレーシングレポートなど、電子カルテ情報共有サービスの用途拡大も検討している。
■目的
オン資・電処・電カルについて今後導入を考えている医療機関や新規開設しようとしている医療機関、また、今後の電カル共有サービスの用途拡大を見据えて申請のしやすいポータルサイトにする。</t>
    <phoneticPr fontId="2"/>
  </si>
  <si>
    <t>・保険局：未調整
・医薬局：未調整</t>
    <rPh sb="1" eb="3">
      <t>ホケン</t>
    </rPh>
    <rPh sb="3" eb="4">
      <t>キョク</t>
    </rPh>
    <rPh sb="5" eb="8">
      <t>ミチョウセイ</t>
    </rPh>
    <rPh sb="10" eb="12">
      <t>イヤク</t>
    </rPh>
    <rPh sb="12" eb="13">
      <t>キョク</t>
    </rPh>
    <rPh sb="14" eb="15">
      <t>ミ</t>
    </rPh>
    <rPh sb="15" eb="17">
      <t>チョウセイ</t>
    </rPh>
    <phoneticPr fontId="2"/>
  </si>
  <si>
    <t>令和8年度3月</t>
    <phoneticPr fontId="2"/>
  </si>
  <si>
    <t>ポータルサイトの改修費は別で設けているため取り扱い方法は要相談</t>
    <rPh sb="8" eb="10">
      <t>カイシュウ</t>
    </rPh>
    <rPh sb="10" eb="11">
      <t>ヒ</t>
    </rPh>
    <rPh sb="12" eb="13">
      <t>ベツ</t>
    </rPh>
    <rPh sb="14" eb="15">
      <t>モウ</t>
    </rPh>
    <rPh sb="21" eb="22">
      <t>ト</t>
    </rPh>
    <rPh sb="23" eb="24">
      <t>アツカ</t>
    </rPh>
    <rPh sb="25" eb="27">
      <t>ホウホウ</t>
    </rPh>
    <rPh sb="28" eb="29">
      <t>ヨウ</t>
    </rPh>
    <rPh sb="29" eb="31">
      <t>ソウダン</t>
    </rPh>
    <phoneticPr fontId="2"/>
  </si>
  <si>
    <t>利用開始申請・運用開始申請</t>
    <rPh sb="0" eb="2">
      <t>リヨウ</t>
    </rPh>
    <rPh sb="2" eb="4">
      <t>カイシ</t>
    </rPh>
    <rPh sb="4" eb="6">
      <t>シンセイ</t>
    </rPh>
    <rPh sb="7" eb="9">
      <t>ウンヨウ</t>
    </rPh>
    <rPh sb="9" eb="11">
      <t>カイシ</t>
    </rPh>
    <rPh sb="11" eb="13">
      <t>シンセイ</t>
    </rPh>
    <phoneticPr fontId="2"/>
  </si>
  <si>
    <t>総合ポータル</t>
    <rPh sb="0" eb="2">
      <t>ソウゴウ</t>
    </rPh>
    <phoneticPr fontId="2"/>
  </si>
  <si>
    <t>①医療情報等向け総合ポータルサイトで、各サービスにおける「利用申請」「運用開始日登録」のページを統合する。
②各種申請状況ページに利用申請や運用開始日登録ページへ遷移するボタンを付ける。</t>
    <phoneticPr fontId="2"/>
  </si>
  <si>
    <t>151</t>
  </si>
  <si>
    <t>151_01</t>
    <phoneticPr fontId="2"/>
  </si>
  <si>
    <t>２次利用DBへの情報連携（連携仕様に応じた出力機能および連携ネットワークの構築）</t>
    <rPh sb="1" eb="4">
      <t>ジリヨウ</t>
    </rPh>
    <rPh sb="8" eb="12">
      <t>ジョウホウレンケイ</t>
    </rPh>
    <rPh sb="13" eb="15">
      <t>レンケイ</t>
    </rPh>
    <rPh sb="15" eb="17">
      <t>シヨウ</t>
    </rPh>
    <rPh sb="18" eb="19">
      <t>オウ</t>
    </rPh>
    <rPh sb="21" eb="23">
      <t>シュツリョク</t>
    </rPh>
    <rPh sb="23" eb="25">
      <t>キノウ</t>
    </rPh>
    <phoneticPr fontId="2"/>
  </si>
  <si>
    <r>
      <rPr>
        <sz val="11"/>
        <color rgb="FFFF0000"/>
        <rFont val="Meiryo UI"/>
        <family val="3"/>
        <charset val="128"/>
      </rPr>
      <t xml:space="preserve">2026/9/25 ACN黒川
・厚労省内での確認の結果、本案件については電子カルテ情報共有サービスの予算では開発しないこととなったため、取り下げとする。
</t>
    </r>
    <r>
      <rPr>
        <sz val="11"/>
        <color theme="1"/>
        <rFont val="Meiryo UI"/>
        <family val="3"/>
        <charset val="128"/>
      </rPr>
      <t xml:space="preserve">
2026/1/26 ACN本田
R8.9-R9.3で要件定義・R9.4以降開発であるため、リリース時期を変更
2025/11/25 ACN本田
令和8年度開発案件として新規起票</t>
    </r>
    <rPh sb="20" eb="21">
      <t>ナイ</t>
    </rPh>
    <rPh sb="23" eb="25">
      <t>カクニン</t>
    </rPh>
    <rPh sb="29" eb="30">
      <t>ホン</t>
    </rPh>
    <rPh sb="30" eb="32">
      <t>アンケン</t>
    </rPh>
    <rPh sb="37" eb="39">
      <t>デンシ</t>
    </rPh>
    <rPh sb="42" eb="46">
      <t>ジョウホウキョウユウ</t>
    </rPh>
    <rPh sb="51" eb="53">
      <t>ヨサン</t>
    </rPh>
    <rPh sb="55" eb="57">
      <t>カイハツ</t>
    </rPh>
    <rPh sb="69" eb="70">
      <t>ト</t>
    </rPh>
    <rPh sb="71" eb="72">
      <t>サ</t>
    </rPh>
    <rPh sb="92" eb="94">
      <t>ホンダ</t>
    </rPh>
    <rPh sb="149" eb="151">
      <t>ホンダ</t>
    </rPh>
    <rPh sb="152" eb="154">
      <t>レイワ</t>
    </rPh>
    <rPh sb="155" eb="157">
      <t>ネンド</t>
    </rPh>
    <rPh sb="157" eb="159">
      <t>カイハツ</t>
    </rPh>
    <rPh sb="159" eb="161">
      <t>アンケン</t>
    </rPh>
    <rPh sb="164" eb="166">
      <t>シンキ</t>
    </rPh>
    <rPh sb="166" eb="168">
      <t>キヒョウ</t>
    </rPh>
    <phoneticPr fontId="2"/>
  </si>
  <si>
    <t>電子カルテ情報共有サービスに登録された３文書６情報を、二次利用DBに格納する仕組みを構築する。</t>
    <rPh sb="38" eb="40">
      <t>シク</t>
    </rPh>
    <rPh sb="42" eb="44">
      <t>コウチク</t>
    </rPh>
    <phoneticPr fontId="2"/>
  </si>
  <si>
    <t>■起票背景
医療DX工程表において、保健医療データの二次利用により、創薬、治験等の医薬産業やヘルスケア産業の振興に繋げ、国民の健康寿命の延伸に貢献することとしている。
■目的
電子カルテ情報共有サービスに登録された３文書６情報を、二次利用DBに格納し、情報連携基盤へのデータ登録を可能とする。</t>
    <rPh sb="1" eb="5">
      <t>キヒョウハイケイ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</si>
  <si>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【取り下げ理由】
2次利用DBへ対応のための電子カルテ情報共有サービスの改修は2次利用DB開発費用の中で対応することとなったため、本案件台帳の管理対象外とする。</t>
    <rPh sb="1" eb="2">
      <t>ト</t>
    </rPh>
    <rPh sb="3" eb="4">
      <t>サ</t>
    </rPh>
    <rPh sb="5" eb="7">
      <t>リユウ</t>
    </rPh>
    <rPh sb="10" eb="13">
      <t>ジリヨウ</t>
    </rPh>
    <rPh sb="16" eb="18">
      <t>タイオウ</t>
    </rPh>
    <rPh sb="22" eb="24">
      <t>デンシ</t>
    </rPh>
    <rPh sb="27" eb="31">
      <t>ジョウホウキョウユウ</t>
    </rPh>
    <rPh sb="36" eb="38">
      <t>カイシュウ</t>
    </rPh>
    <rPh sb="40" eb="43">
      <t>ジリヨウ</t>
    </rPh>
    <rPh sb="45" eb="47">
      <t>カイハツ</t>
    </rPh>
    <rPh sb="47" eb="49">
      <t>ヒヨウ</t>
    </rPh>
    <rPh sb="50" eb="51">
      <t>ナカ</t>
    </rPh>
    <rPh sb="52" eb="54">
      <t>タイオウ</t>
    </rPh>
    <rPh sb="65" eb="66">
      <t>ホン</t>
    </rPh>
    <rPh sb="66" eb="68">
      <t>アンケン</t>
    </rPh>
    <rPh sb="68" eb="70">
      <t>ダイチョウ</t>
    </rPh>
    <rPh sb="71" eb="73">
      <t>カンリ</t>
    </rPh>
    <rPh sb="73" eb="76">
      <t>タイショウガイ</t>
    </rPh>
    <phoneticPr fontId="2"/>
  </si>
  <si>
    <t>※詳細は省内確認中</t>
    <rPh sb="1" eb="3">
      <t>ショウサイ</t>
    </rPh>
    <rPh sb="4" eb="6">
      <t>ショウナイ</t>
    </rPh>
    <rPh sb="6" eb="8">
      <t>カクニン</t>
    </rPh>
    <rPh sb="8" eb="9">
      <t>チュウ</t>
    </rPh>
    <phoneticPr fontId="2"/>
  </si>
  <si>
    <t>152</t>
  </si>
  <si>
    <t>152_01</t>
    <phoneticPr fontId="2"/>
  </si>
  <si>
    <t>栄養情報の連携機能の追加</t>
    <phoneticPr fontId="2"/>
  </si>
  <si>
    <r>
      <rPr>
        <sz val="11"/>
        <color rgb="FFFF0000"/>
        <rFont val="Meiryo UI"/>
        <family val="3"/>
        <charset val="128"/>
      </rPr>
      <t xml:space="preserve">2026/9/25 ACN黒川
・厚労省での検討の結果、リリース希望時期を令和9年度以降から令和10年度以降に変更。
</t>
    </r>
    <r>
      <rPr>
        <sz val="11"/>
        <color theme="1"/>
        <rFont val="Meiryo UI"/>
        <family val="3"/>
        <charset val="128"/>
      </rPr>
      <t xml:space="preserve">
2025/11/25 ACN本田
令和9年度以降開発案件として新規起票</t>
    </r>
    <phoneticPr fontId="2"/>
  </si>
  <si>
    <t>153</t>
  </si>
  <si>
    <t>153_01</t>
    <phoneticPr fontId="2"/>
  </si>
  <si>
    <t>処方情報のRpに関する情報の抽出についてFHIR記述項目の抽出項目変更</t>
    <rPh sb="8" eb="9">
      <t>カン</t>
    </rPh>
    <rPh sb="11" eb="13">
      <t>ジョウホウ</t>
    </rPh>
    <rPh sb="14" eb="16">
      <t>チュウシュツ</t>
    </rPh>
    <rPh sb="24" eb="26">
      <t>キジュツ</t>
    </rPh>
    <rPh sb="26" eb="28">
      <t>コウモク</t>
    </rPh>
    <rPh sb="29" eb="31">
      <t>チュウシュツ</t>
    </rPh>
    <rPh sb="31" eb="33">
      <t>コウモク</t>
    </rPh>
    <rPh sb="33" eb="35">
      <t>ヘンコウ</t>
    </rPh>
    <phoneticPr fontId="2"/>
  </si>
  <si>
    <t>2025/11/25 ACN本田
処方情報の蓋開け時に開発漏れがないように新規起票</t>
    <rPh sb="14" eb="16">
      <t>ホンダ</t>
    </rPh>
    <rPh sb="27" eb="29">
      <t>カイハツ</t>
    </rPh>
    <rPh sb="29" eb="30">
      <t>モ</t>
    </rPh>
    <rPh sb="37" eb="39">
      <t>シンキ</t>
    </rPh>
    <rPh sb="39" eb="41">
      <t>キヒョウ</t>
    </rPh>
    <phoneticPr fontId="2"/>
  </si>
  <si>
    <t>処方情報のRpに関する情報の抽出についてFHIR記述項目の抽出項目について、FHIRの定義に合わせて修正する</t>
    <rPh sb="43" eb="45">
      <t>テイギ</t>
    </rPh>
    <rPh sb="46" eb="47">
      <t>ア</t>
    </rPh>
    <rPh sb="50" eb="52">
      <t>シュウセイ</t>
    </rPh>
    <phoneticPr fontId="2"/>
  </si>
  <si>
    <t>154</t>
  </si>
  <si>
    <t>154_01</t>
    <phoneticPr fontId="2"/>
  </si>
  <si>
    <t>標準マスタ</t>
    <rPh sb="0" eb="2">
      <t>ヒョウジュン</t>
    </rPh>
    <phoneticPr fontId="2"/>
  </si>
  <si>
    <t>傷病名・修飾語マスタのUTF-8対応</t>
    <rPh sb="0" eb="2">
      <t>ショウビョウ</t>
    </rPh>
    <rPh sb="2" eb="3">
      <t>メイ</t>
    </rPh>
    <rPh sb="4" eb="7">
      <t>シュウショクゴ</t>
    </rPh>
    <rPh sb="16" eb="18">
      <t>タイオウ</t>
    </rPh>
    <phoneticPr fontId="2"/>
  </si>
  <si>
    <r>
      <rPr>
        <sz val="11"/>
        <color rgb="FFFF0000"/>
        <rFont val="Meiryo UI"/>
        <family val="3"/>
        <charset val="128"/>
      </rPr>
      <t xml:space="preserve">2026/9/25 ACN黒川
・厚労省での検討の結果、リリース希望時期を令和9年度以降から令和10年度以降に変更。
</t>
    </r>
    <r>
      <rPr>
        <sz val="11"/>
        <color theme="1"/>
        <rFont val="Meiryo UI"/>
        <family val="3"/>
        <charset val="128"/>
      </rPr>
      <t xml:space="preserve">
2025/11/25 ACN本田
令和9年度以降開発案件として新規起票</t>
    </r>
    <rPh sb="74" eb="76">
      <t>ホンダ</t>
    </rPh>
    <rPh sb="77" eb="79">
      <t>レイワ</t>
    </rPh>
    <rPh sb="80" eb="84">
      <t>ネンドイコウ</t>
    </rPh>
    <rPh sb="84" eb="88">
      <t>カイハツアンケン</t>
    </rPh>
    <rPh sb="91" eb="93">
      <t>シンキ</t>
    </rPh>
    <rPh sb="93" eb="95">
      <t>キヒョウ</t>
    </rPh>
    <phoneticPr fontId="2"/>
  </si>
  <si>
    <t>標準マスタの文字コードを統一(UTF-8)する</t>
  </si>
  <si>
    <t>■起票背景
電子カルテ情報共有サービスとして、公開・提供しているマスタによって文字コードが「SJIS」と「UTF-8」が混在している。
・SJIS：傷病名、修飾語
・UTF-8：薬剤アレルギー用コード、剤形・規格・銘柄不明コード、YJコード、JFAGYコード、JLACコード、医療機関等マスタ
R7年度の検討において、歯科の傷病名にはSJISの文字コードで表現できない文字コードが含まれているため、歯科ー歯科間で紹介状のやり取りを行う際にはUTF-8に変換する方針になった。
■目的
電子カルテ情報共有サービスから提供する標準マスタファイルの文字コードは、「UTF-8」に統一する。</t>
    <rPh sb="160" eb="162">
      <t>シカ</t>
    </rPh>
    <rPh sb="163" eb="165">
      <t>ショウビョウ</t>
    </rPh>
    <rPh sb="165" eb="166">
      <t>メイ</t>
    </rPh>
    <rPh sb="179" eb="181">
      <t>ヒョウゲン</t>
    </rPh>
    <rPh sb="185" eb="187">
      <t>モジ</t>
    </rPh>
    <rPh sb="191" eb="192">
      <t>フク</t>
    </rPh>
    <rPh sb="200" eb="202">
      <t>シカ</t>
    </rPh>
    <rPh sb="203" eb="205">
      <t>シカ</t>
    </rPh>
    <rPh sb="205" eb="206">
      <t>カン</t>
    </rPh>
    <rPh sb="207" eb="210">
      <t>ショウカイジョウ</t>
    </rPh>
    <rPh sb="213" eb="214">
      <t>ト</t>
    </rPh>
    <rPh sb="216" eb="217">
      <t>オコナ</t>
    </rPh>
    <rPh sb="218" eb="219">
      <t>サイ</t>
    </rPh>
    <rPh sb="227" eb="229">
      <t>ヘンカン</t>
    </rPh>
    <rPh sb="231" eb="233">
      <t>ホウシン</t>
    </rPh>
    <phoneticPr fontId="2"/>
  </si>
  <si>
    <t>MEDIS</t>
    <phoneticPr fontId="2"/>
  </si>
  <si>
    <t>155</t>
  </si>
  <si>
    <t>155_01</t>
    <phoneticPr fontId="2"/>
  </si>
  <si>
    <t>オン資出力のログ・統計ファイルの連携・ダウンロード方式の変更</t>
    <phoneticPr fontId="2"/>
  </si>
  <si>
    <r>
      <rPr>
        <sz val="11"/>
        <color rgb="FF000000"/>
        <rFont val="Meiryo UI"/>
        <family val="3"/>
        <charset val="128"/>
      </rPr>
      <t xml:space="preserve">2025/11/26 基金小泉
</t>
    </r>
    <r>
      <rPr>
        <strike/>
        <sz val="11"/>
        <color rgb="FF000000"/>
        <rFont val="Meiryo UI"/>
        <family val="3"/>
        <charset val="128"/>
      </rPr>
      <t xml:space="preserve">令和8年度案件として新規起票
</t>
    </r>
    <r>
      <rPr>
        <sz val="11"/>
        <color rgb="FFFF0000"/>
        <rFont val="Meiryo UI"/>
        <family val="3"/>
        <charset val="128"/>
      </rPr>
      <t>本案件は、オン資出力のログ・統計集計に係る基金作業の効率化の観点から、基金より起票したものである。一方で、見積金額が基金の想定より高額であったことから、医療機関等への影響はないことを踏まえて、取り下げとする。</t>
    </r>
    <phoneticPr fontId="2"/>
  </si>
  <si>
    <t>運用保守改善</t>
    <rPh sb="0" eb="2">
      <t>ウンヨウ</t>
    </rPh>
    <rPh sb="2" eb="4">
      <t>ホシュ</t>
    </rPh>
    <rPh sb="4" eb="6">
      <t>カイゼン</t>
    </rPh>
    <phoneticPr fontId="2"/>
  </si>
  <si>
    <t>基金小泉</t>
  </si>
  <si>
    <t>ログ・統計ファイルのダウンロード方式を統一する</t>
    <phoneticPr fontId="2"/>
  </si>
  <si>
    <t>■起票背景
ログ・統計ファイルのダウンロード操作はオン資と電カル共有サービスで方法が異なる。運用オペレーションを統一したい。
■目的
電カル共有サービスで実施しているダウンロード方法に統一することにより運用オペレーションの統一と運用負荷を軽減する。</t>
    <phoneticPr fontId="2"/>
  </si>
  <si>
    <t>ー</t>
  </si>
  <si>
    <t>影響なし</t>
  </si>
  <si>
    <t>取り下げ</t>
  </si>
  <si>
    <t>ログ・統計</t>
  </si>
  <si>
    <t>ログ・統計ファイルのダウンロード操作を電カル共有サービスで実施しているダウンロード方法に統一する。
①オン資側で出力されるログ・統計ファイルを電カル共有サービスに連携する。
②①で連携されるファイルを電カル共有サービスの統計・分析ファイル出力機能でダウンロードできるようにする。</t>
    <phoneticPr fontId="2"/>
  </si>
  <si>
    <t>156</t>
  </si>
  <si>
    <t>156_01</t>
    <phoneticPr fontId="2"/>
  </si>
  <si>
    <t>健診文書作成主体と検査実施主体が異なるケースの許容</t>
    <phoneticPr fontId="2"/>
  </si>
  <si>
    <r>
      <rPr>
        <sz val="11"/>
        <color rgb="FFFF0000"/>
        <rFont val="Meiryo UI"/>
        <family val="3"/>
        <charset val="128"/>
      </rPr>
      <t>2026/8/10 ACN黒川
(リリース希望時期綺麗化作業)リリース希望時期を「令和8年度（健診文書の連携運用前）」から「令和8年度9月」に変更。</t>
    </r>
    <r>
      <rPr>
        <sz val="11"/>
        <color theme="1"/>
        <rFont val="Meiryo UI"/>
        <family val="3"/>
        <charset val="128"/>
      </rPr>
      <t xml:space="preserve">
2025/11/25 基金山舗
</t>
    </r>
    <r>
      <rPr>
        <strike/>
        <sz val="11"/>
        <color rgb="FFFF0000"/>
        <rFont val="Meiryo UI"/>
        <family val="3"/>
        <charset val="128"/>
      </rPr>
      <t>令和9年度以降開発案件として新規起票</t>
    </r>
    <r>
      <rPr>
        <sz val="11"/>
        <color theme="1"/>
        <rFont val="Meiryo UI"/>
        <family val="3"/>
        <charset val="128"/>
      </rPr>
      <t xml:space="preserve">
令和8年度案件として新規起票</t>
    </r>
    <rPh sb="62" eb="64">
      <t>レイワ</t>
    </rPh>
    <rPh sb="65" eb="67">
      <t>ネンド</t>
    </rPh>
    <rPh sb="68" eb="69">
      <t>ガツ</t>
    </rPh>
    <rPh sb="87" eb="89">
      <t>キキン</t>
    </rPh>
    <rPh sb="89" eb="91">
      <t>ヤマシキ</t>
    </rPh>
    <rPh sb="92" eb="94">
      <t>レイワ</t>
    </rPh>
    <rPh sb="95" eb="99">
      <t>ネンドイコウ</t>
    </rPh>
    <rPh sb="99" eb="103">
      <t>カイハツアンケン</t>
    </rPh>
    <rPh sb="106" eb="108">
      <t>シンキ</t>
    </rPh>
    <rPh sb="108" eb="110">
      <t>キヒョウ</t>
    </rPh>
    <phoneticPr fontId="2"/>
  </si>
  <si>
    <t>基金山舗</t>
    <rPh sb="0" eb="2">
      <t>キキン</t>
    </rPh>
    <rPh sb="2" eb="4">
      <t>ヤマシキ</t>
    </rPh>
    <phoneticPr fontId="2"/>
  </si>
  <si>
    <t>国保中央会との健診文書連携において、国保閲覧機能での医療機関番号検索の対象を、現状の「健診文書作成主体（ファイル作成機関）」(Composition.author) から「検査実施主体（健診実施機関）」(Encounter.serviceProvider) に変更する。</t>
    <phoneticPr fontId="2"/>
  </si>
  <si>
    <t>■起票背景
健診文書において、「健診文書作成主体」と「検査実施主体」の医療機関番号が異なるケースを許容する方針としたことに伴い、国保中央会の国保閲覧機能では、現行仕様で「健診文書作成主体（ファイル作成機関）」の医療機関番号を用いて検索を行っている部分について、「検査実施主体（健診実施機関）」を検索対象とするよう修正が必要となった。このため、本機能の一部修正を行う。
■目的
国保中央会への健診文書の医療機関番号連携において、「国保閲覧機能」で「検査実施主体」を対象とした健診文書の検索を可能とする。</t>
    <phoneticPr fontId="2"/>
  </si>
  <si>
    <t>・国保中央会：確認済み</t>
    <rPh sb="1" eb="3">
      <t>コクホ</t>
    </rPh>
    <rPh sb="3" eb="6">
      <t>チュウオウカイ</t>
    </rPh>
    <rPh sb="7" eb="9">
      <t>カクニン</t>
    </rPh>
    <rPh sb="9" eb="10">
      <t>ズ</t>
    </rPh>
    <phoneticPr fontId="2"/>
  </si>
  <si>
    <t>健診文書</t>
    <rPh sb="0" eb="4">
      <t>ケンシンブンショ</t>
    </rPh>
    <phoneticPr fontId="2"/>
  </si>
  <si>
    <t>■要求事項
機能：健診情報登録要求
内容：XML（健診結果報告書）においては、従来どおり「健診文書作成主体（author 参照の Organization：ファイル作成機関）」および「検査実施主体（serviceProvider 参照の Organization：健診実施機関）」双方の医療機関番号を連携する。そのうえで、国保中央会の国保閲覧機能における医療機関番号検索について、現行の「健診文書作成主体（ファイル作成機関）」を検索対象としている仕様から、「検査実施主体（健診実施機関）」を検索対象とする仕様に変更する。
■備考
当該機能については、国保中央会との仕様確認・検討が必要。</t>
    <phoneticPr fontId="2"/>
  </si>
  <si>
    <t>国保連合会（特定健診等データ管理システム）
保険者閲覧（国保、社保）</t>
    <rPh sb="0" eb="2">
      <t>コクホ</t>
    </rPh>
    <rPh sb="2" eb="5">
      <t>レンゴウカイ</t>
    </rPh>
    <rPh sb="6" eb="8">
      <t>トクテイ</t>
    </rPh>
    <rPh sb="8" eb="11">
      <t>ケンシンナド</t>
    </rPh>
    <rPh sb="14" eb="16">
      <t>カンリ</t>
    </rPh>
    <rPh sb="22" eb="24">
      <t>ホケン</t>
    </rPh>
    <rPh sb="24" eb="25">
      <t>ジャ</t>
    </rPh>
    <rPh sb="25" eb="27">
      <t>エツラン</t>
    </rPh>
    <rPh sb="28" eb="30">
      <t>コクホ</t>
    </rPh>
    <rPh sb="31" eb="33">
      <t>シャホ</t>
    </rPh>
    <phoneticPr fontId="2"/>
  </si>
  <si>
    <t>157</t>
  </si>
  <si>
    <t>157_01</t>
    <phoneticPr fontId="2"/>
  </si>
  <si>
    <t>処方情報に内包されるEncounterリソースに対するバリデーションチェックの不備解消</t>
    <rPh sb="0" eb="2">
      <t>ショホウ</t>
    </rPh>
    <rPh sb="2" eb="4">
      <t>ジョウホウ</t>
    </rPh>
    <rPh sb="5" eb="7">
      <t>ナイホウ</t>
    </rPh>
    <rPh sb="24" eb="25">
      <t>タイ</t>
    </rPh>
    <rPh sb="39" eb="41">
      <t>フビ</t>
    </rPh>
    <rPh sb="41" eb="43">
      <t>カイショウ</t>
    </rPh>
    <phoneticPr fontId="2"/>
  </si>
  <si>
    <r>
      <t xml:space="preserve">2025/11/28 基金山本貴
</t>
    </r>
    <r>
      <rPr>
        <strike/>
        <sz val="11"/>
        <color theme="1"/>
        <rFont val="Meiryo UI"/>
        <family val="3"/>
        <charset val="128"/>
      </rPr>
      <t>令和8年度案件として新規起票</t>
    </r>
    <r>
      <rPr>
        <sz val="11"/>
        <color theme="1"/>
        <rFont val="Meiryo UI"/>
        <family val="3"/>
        <charset val="128"/>
      </rPr>
      <t xml:space="preserve">
</t>
    </r>
    <r>
      <rPr>
        <sz val="11"/>
        <color rgb="FFFF0000"/>
        <rFont val="Meiryo UI"/>
        <family val="3"/>
        <charset val="128"/>
      </rPr>
      <t>新規開発案件としてではなく、不具合改修として対応する方針となったことにより、取り下げ。</t>
    </r>
    <rPh sb="11" eb="15">
      <t>キキンヤマモト</t>
    </rPh>
    <rPh sb="15" eb="16">
      <t>タカ</t>
    </rPh>
    <rPh sb="32" eb="38">
      <t>シンキカイハツアンケン</t>
    </rPh>
    <rPh sb="46" eb="51">
      <t>フグアイカイシュウ</t>
    </rPh>
    <rPh sb="54" eb="56">
      <t>タイオウ</t>
    </rPh>
    <rPh sb="58" eb="60">
      <t>ホウシン</t>
    </rPh>
    <rPh sb="70" eb="71">
      <t>ト</t>
    </rPh>
    <rPh sb="72" eb="73">
      <t>サ</t>
    </rPh>
    <phoneticPr fontId="2"/>
  </si>
  <si>
    <t>ONS（CC含む）</t>
    <rPh sb="6" eb="7">
      <t>フク</t>
    </rPh>
    <phoneticPr fontId="2"/>
  </si>
  <si>
    <t>文書中のMedicationRequest.contained:Encounter.meta.profileにおいて、FHIR仕様に準拠したプロファイルバージョンの指定をおこなった場合もアドオンチェックエラーとしないようにする。</t>
    <phoneticPr fontId="2"/>
  </si>
  <si>
    <t>■起票背景
アドオンチェックNo136(不変No.116)では、診療情報提供書・退院時サマリーにおいて、MedicationRequestリソースのencounter要素から参照するcontainerd:Encounterリソースのmeta.profileが以下のいずれかでなければエラー（CISS0042E）とするリソース型判定処理をおこなっている。
　・「http://jpfhir.jp/fhir/core/StructureDefinition/JP_Encounter」または
　・「http://jpfhir.jp/fhir/eCS/StructureDefinition/JP_Encounter_eCS」
このとき、meta.profileのURI末尾にプロファイルバージョンの指定（"|x.y.z"）を付記した場合、対象外のリソースと判定されてしまう事象が医療機関等ベンダーからの指摘（ONS問合せINC0032465）を通じて発見されたことから、バージョン指定をおこなった場合も「|」の左側までのURI部分文字列を切り出してリソース型判定をおこなうよう、アドオンチェック処理の修正をおこなうものである。
■目的
文書中のMedicationRequest.contained:Encounter.meta.profileにおいて、FHIR仕様に準拠したプロファイルバージョンの指定をおこなった場合もエラーとしないようにする。</t>
    <rPh sb="1" eb="5">
      <t>キヒョウハイケイ</t>
    </rPh>
    <rPh sb="162" eb="163">
      <t>ガタ</t>
    </rPh>
    <rPh sb="165" eb="167">
      <t>ショリ</t>
    </rPh>
    <rPh sb="360" eb="362">
      <t>フキ</t>
    </rPh>
    <rPh sb="467" eb="468">
      <t>キ</t>
    </rPh>
    <rPh sb="469" eb="470">
      <t>ダ</t>
    </rPh>
    <rPh sb="495" eb="497">
      <t>ショリ</t>
    </rPh>
    <rPh sb="514" eb="516">
      <t>モクテキ</t>
    </rPh>
    <rPh sb="517" eb="520">
      <t>ブンショチュウ</t>
    </rPh>
    <rPh sb="580" eb="582">
      <t>シヨウ</t>
    </rPh>
    <rPh sb="583" eb="585">
      <t>ジュンキョ</t>
    </rPh>
    <rPh sb="599" eb="601">
      <t>シテイ</t>
    </rPh>
    <rPh sb="607" eb="609">
      <t>バアイ</t>
    </rPh>
    <phoneticPr fontId="2"/>
  </si>
  <si>
    <t>文書情報の登録</t>
    <rPh sb="0" eb="4">
      <t>ブンショジョウホウ</t>
    </rPh>
    <rPh sb="5" eb="7">
      <t>トウロク</t>
    </rPh>
    <phoneticPr fontId="2"/>
  </si>
  <si>
    <t xml:space="preserve">■要求事項
・対象：アドオンチェック機能　No136(不変No.116)
・内容：リソース型判定処理において、URI末尾にバージョン指定がある場合、文字列先頭からバージョン指定のセパレータ「|」までのURI文字列を対象としてリソース型の判定をおこなうよう、チェックロジックを修正する。
</t>
    <rPh sb="58" eb="60">
      <t>マツビ</t>
    </rPh>
    <rPh sb="66" eb="68">
      <t>シテイ</t>
    </rPh>
    <rPh sb="71" eb="73">
      <t>バアイ</t>
    </rPh>
    <rPh sb="74" eb="77">
      <t>モジレツ</t>
    </rPh>
    <rPh sb="77" eb="79">
      <t>セントウ</t>
    </rPh>
    <rPh sb="86" eb="88">
      <t>シテイ</t>
    </rPh>
    <rPh sb="103" eb="106">
      <t>モジレツ</t>
    </rPh>
    <rPh sb="107" eb="109">
      <t>タイショウ</t>
    </rPh>
    <rPh sb="116" eb="117">
      <t>ガタ</t>
    </rPh>
    <rPh sb="118" eb="120">
      <t>ハンテイ</t>
    </rPh>
    <rPh sb="137" eb="139">
      <t>シュウセイ</t>
    </rPh>
    <phoneticPr fontId="2"/>
  </si>
  <si>
    <t>158</t>
  </si>
  <si>
    <t>158_01</t>
    <phoneticPr fontId="2"/>
  </si>
  <si>
    <t>DVフラグによる閲覧制御対応（R8持ち越し分）</t>
    <rPh sb="8" eb="12">
      <t>エツランセイギョ</t>
    </rPh>
    <rPh sb="12" eb="14">
      <t>タイオウ</t>
    </rPh>
    <rPh sb="17" eb="18">
      <t>モ</t>
    </rPh>
    <rPh sb="19" eb="20">
      <t>コ</t>
    </rPh>
    <rPh sb="21" eb="22">
      <t>ブン</t>
    </rPh>
    <phoneticPr fontId="2"/>
  </si>
  <si>
    <r>
      <rPr>
        <sz val="11"/>
        <color rgb="FFFF0000"/>
        <rFont val="Meiryo UI"/>
        <family val="3"/>
        <charset val="128"/>
      </rPr>
      <t xml:space="preserve">2026/8/10 ACN黒川
(リリース希望時期綺麗化作業)リリース希望時期を「令和8年9月」から「令和8年度9月」に変更。
2026/3/23(月) 開発課題検討会：R8.9リリースの方向で調達予定リストに追加。→これを受け、リリース希望時期をR8.9に更新。
2026/3/16(月) 開発課題検討会：R8.9リリースとして、基金から厚労省に見積を提示することで合意。見積を踏まえ、厚労省にて実施可否を検討（５月調達予定）。
</t>
    </r>
    <r>
      <rPr>
        <sz val="11"/>
        <color rgb="FF000000"/>
        <rFont val="Meiryo UI"/>
        <family val="3"/>
        <charset val="128"/>
      </rPr>
      <t>2025/11/28 基金山本貴
令和8年度案件として新規起票</t>
    </r>
    <rPh sb="46" eb="47">
      <t>ガツ</t>
    </rPh>
    <phoneticPr fontId="2"/>
  </si>
  <si>
    <t>「自施設宛文書情報一覧取得機能(CIS-IF-111/112)」及び「文書情報検索機能(OQS-IF-CIS07/08)」において、DVフラグが設定されている患者の文書を結果中に含めないようにする。
（前年度案件ID125のR8持ち越し分）</t>
    <rPh sb="32" eb="33">
      <t>オヨ</t>
    </rPh>
    <rPh sb="35" eb="39">
      <t>ブンショジョウホウ</t>
    </rPh>
    <rPh sb="39" eb="43">
      <t>ケンサクキノウ</t>
    </rPh>
    <rPh sb="72" eb="74">
      <t>セッテイ</t>
    </rPh>
    <rPh sb="79" eb="81">
      <t>カンジャ</t>
    </rPh>
    <rPh sb="82" eb="84">
      <t>ブンショ</t>
    </rPh>
    <rPh sb="85" eb="87">
      <t>ケッカ</t>
    </rPh>
    <rPh sb="87" eb="88">
      <t>チュウ</t>
    </rPh>
    <rPh sb="89" eb="90">
      <t>フク</t>
    </rPh>
    <rPh sb="101" eb="104">
      <t>ゼンネンド</t>
    </rPh>
    <rPh sb="104" eb="106">
      <t>アンケン</t>
    </rPh>
    <rPh sb="114" eb="115">
      <t>モ</t>
    </rPh>
    <rPh sb="116" eb="117">
      <t>コ</t>
    </rPh>
    <rPh sb="118" eb="119">
      <t>ブン</t>
    </rPh>
    <phoneticPr fontId="2"/>
  </si>
  <si>
    <t xml:space="preserve">■起票背景
前年度案件ID125「自己情報提供不可フラグ・不開示該当フラグの患者における文書情報の登録・閲覧対応」を進める中で、「自施設宛文書情報一覧取得機能(CIS-IF-111/112)」及び「文書情報検索機能(OQS-IF-CIS07/08)」に関しても制限を加える方針となったが、これら機能は複数の患者を対象としたDVフラグの確認をおこなう必要があることから、実装をおこなうにおいて性能上の懸念があった。そのため、R7中は負荷低減策について検討した上で、具体的な開発はR8でおこなうこととしたものである。
</t>
  </si>
  <si>
    <t>自施設宛文書情報の一覧取得
文書情報の検索
被紹介履歴情報の閲覧（マイナポ）</t>
    <phoneticPr fontId="2"/>
  </si>
  <si>
    <t>■要求事項
機能：自施設宛文書情報一覧取得機能(CIS-IF-111/112)、文書情報検索機能(OQS-IF-CIS07/08)
内容：DVフラグ（自己情報提供不可フラグ・不開示該当フラグ）が設定された患者の文書情報を結果に含めないように制御する。
■備考
・複数の患者を対象としたDVフラグの確認をおこなう必要があることから、機能実装時の負荷低減策について別途検討が必要
（e.g. 利用者に対しDVフラグが設定されたタイミングで、対象患者の文書が文書情報管理DB上に存在するかどうかを確認し、もしあれば対象の文書について予め非表示フラグを設定しておくことにより、一覧取得・検索時に紹介患者のDVフラグの状況を都度確認することなく、文書情報に紐づく非表示フラグを参照することで非表示の制御を可能とする、等。）
・R7改修済み箇所についても、必要に応じ、処理負荷の効率化等を併せて検討する
・DVフラグ設定時の各機能における表示メッセージ・挙動について検討の必要性あり</t>
    <phoneticPr fontId="2"/>
  </si>
  <si>
    <t>159</t>
  </si>
  <si>
    <t>159-01</t>
    <phoneticPr fontId="2"/>
  </si>
  <si>
    <t>サービスデザイン</t>
    <phoneticPr fontId="2"/>
  </si>
  <si>
    <t>「健診実施機関(単独)」へのサービス導入</t>
    <phoneticPr fontId="2"/>
  </si>
  <si>
    <t>2025/12/8 ACN本田
令和9年度案件として新規起票</t>
    <rPh sb="16" eb="18">
      <t>レイワ</t>
    </rPh>
    <rPh sb="19" eb="21">
      <t>ネンド</t>
    </rPh>
    <rPh sb="21" eb="23">
      <t>アンケン</t>
    </rPh>
    <rPh sb="26" eb="28">
      <t>シンキ</t>
    </rPh>
    <rPh sb="28" eb="30">
      <t>キヒョウ</t>
    </rPh>
    <phoneticPr fontId="2"/>
  </si>
  <si>
    <t>健診実施機関(単独)も、健診文書の登録ができるようにする</t>
    <rPh sb="0" eb="2">
      <t>ケンシン</t>
    </rPh>
    <rPh sb="2" eb="6">
      <t>ジッシキカン</t>
    </rPh>
    <rPh sb="7" eb="9">
      <t>タンドク</t>
    </rPh>
    <rPh sb="12" eb="16">
      <t>ケンシンブンショ</t>
    </rPh>
    <rPh sb="17" eb="19">
      <t>トウロク</t>
    </rPh>
    <phoneticPr fontId="2"/>
  </si>
  <si>
    <t>■起票背景
・現在、健診実施機関(単独)では、電子カルテ情報共有サービスへ健診文書の登録ができない。
・健診実施機関（単独）で受診した国民の健診情報は電子カルテ情報共有サービスに登録されないため、健診文書の共有による以下のメリットを享受できない。
▸ 他医療機関等へ健診結果がより迅速かつ正確に共有されることで、医療の質・安全性の向上に寄与する。
 ▸ 医療保険者が健診結果をより迅速に取得できるようになることで、健診結果の取得率向上や保険事業への効果的な活用が期待される。
▸受診者本人が健診結果をより迅速に確認できるようになり、自身の健康状態などを継続的に把握することで健康管理の促進が図られる
■目的
健診実施機関(単独)において以下ができるようにする
▸健診文書の登録・更新・削除
▸薬剤情報等・特定健診情報・臨床情報の取得・閲覧</t>
    <phoneticPr fontId="2"/>
  </si>
  <si>
    <t>健診実施機関（単独）で登録された健診文書が医療機関・保険者・受診者本人に共有されることにより、以下のメリットが想定される。
▸ 他医療機関等に健診結果がより迅速かつ正確に共有されることで、医療の質・安全性の向上に寄与する。
 ▸ 医療保険者が健診結果をより迅速に取得できるようになることで、健診結果の取得率向上や保険事業への効果的な活用が期待される。
 ▸ 受診者本人が健診結果をより迅速に確認できるようになり、自身の健康状態を継続的に把握することで、健康管理の促進が期待される</t>
    <phoneticPr fontId="2"/>
  </si>
  <si>
    <t>健診文書登録・更新・削除
薬剤情報等・特定健診情報・臨床情報の閲覧</t>
    <rPh sb="7" eb="9">
      <t>コウシン</t>
    </rPh>
    <rPh sb="10" eb="12">
      <t>サクジョ</t>
    </rPh>
    <rPh sb="31" eb="33">
      <t>エツラン</t>
    </rPh>
    <phoneticPr fontId="2"/>
  </si>
  <si>
    <t>■要求事項
健診実施機関(単独)において以下の機能が利用できるようにする
・オンライン資格確認(通常型)の資格確認機能
・オンライン資格確認の薬剤情報等・特定健診情報・臨床情報の閲覧機能
・電子カルテ情報共有サービスへの健診文書登録・削除・更新機能</t>
    <rPh sb="1" eb="3">
      <t>ヨウキュウ</t>
    </rPh>
    <rPh sb="3" eb="5">
      <t>ジコウ</t>
    </rPh>
    <rPh sb="6" eb="8">
      <t>ケンシン</t>
    </rPh>
    <rPh sb="8" eb="10">
      <t>ジッシ</t>
    </rPh>
    <rPh sb="10" eb="12">
      <t>キカン</t>
    </rPh>
    <rPh sb="13" eb="15">
      <t>タンドク</t>
    </rPh>
    <rPh sb="20" eb="22">
      <t>イカ</t>
    </rPh>
    <rPh sb="23" eb="25">
      <t>キノウ</t>
    </rPh>
    <rPh sb="26" eb="28">
      <t>リヨウ</t>
    </rPh>
    <rPh sb="43" eb="47">
      <t>シカクカクニン</t>
    </rPh>
    <rPh sb="48" eb="51">
      <t>ツウジョウガタ</t>
    </rPh>
    <rPh sb="53" eb="55">
      <t>シカク</t>
    </rPh>
    <rPh sb="55" eb="57">
      <t>カクニン</t>
    </rPh>
    <rPh sb="57" eb="59">
      <t>キノウ</t>
    </rPh>
    <rPh sb="66" eb="68">
      <t>シカク</t>
    </rPh>
    <rPh sb="68" eb="70">
      <t>カクニン</t>
    </rPh>
    <rPh sb="89" eb="91">
      <t>エツラン</t>
    </rPh>
    <rPh sb="91" eb="93">
      <t>キノウ</t>
    </rPh>
    <rPh sb="95" eb="97">
      <t>デンシ</t>
    </rPh>
    <rPh sb="100" eb="104">
      <t>ジョウホウキョウユウ</t>
    </rPh>
    <rPh sb="110" eb="112">
      <t>ケンシン</t>
    </rPh>
    <rPh sb="112" eb="114">
      <t>ブンショ</t>
    </rPh>
    <rPh sb="114" eb="116">
      <t>トウロク</t>
    </rPh>
    <rPh sb="117" eb="119">
      <t>サクジョ</t>
    </rPh>
    <rPh sb="120" eb="122">
      <t>コウシン</t>
    </rPh>
    <rPh sb="122" eb="124">
      <t>キノウ</t>
    </rPh>
    <phoneticPr fontId="2"/>
  </si>
  <si>
    <t>160</t>
  </si>
  <si>
    <t>160_01</t>
    <phoneticPr fontId="2"/>
  </si>
  <si>
    <t>文書情報:退院時サマリ含む</t>
    <rPh sb="5" eb="7">
      <t>タイイン</t>
    </rPh>
    <rPh sb="7" eb="8">
      <t>ジ</t>
    </rPh>
    <rPh sb="11" eb="12">
      <t>フク</t>
    </rPh>
    <phoneticPr fontId="2"/>
  </si>
  <si>
    <t>医療機関が電子カルテ情報共有サービスを利用する前提事項を満たさなくなった場合の対応</t>
    <phoneticPr fontId="2"/>
  </si>
  <si>
    <r>
      <rPr>
        <sz val="11"/>
        <color rgb="FFFF0000"/>
        <rFont val="Meiryo UI"/>
        <family val="3"/>
        <charset val="128"/>
      </rPr>
      <t xml:space="preserve">2026/8/10 ACN黒川
(リリース希望時期綺麗化作業)リリース希望時期を「令和8年9月」から「令和8年度9月」に変更。
2026/3/23 開発課題検討会：R8.9リリースの方向で調達予定リストに追加。→これを受け、リリース希望時期をR8.9に更新。
</t>
    </r>
    <r>
      <rPr>
        <sz val="11"/>
        <color rgb="FF000000"/>
        <rFont val="Meiryo UI"/>
        <family val="3"/>
        <charset val="128"/>
      </rPr>
      <t xml:space="preserve">
2026/3/23 基金細沼
開発業者がNTTDではなく富士通のため、Y列を「電カル共有」から「オン資」に変更
2025/12/10 基金山本貴
令和8年度案件として新規起票</t>
    </r>
    <phoneticPr fontId="2"/>
  </si>
  <si>
    <t>電子カルテ情報共有サービスを利用する条件を満たさなくなった医療機関について、文書情報の紹介先として設定できないようにする。</t>
    <rPh sb="14" eb="16">
      <t>リヨウ</t>
    </rPh>
    <rPh sb="18" eb="20">
      <t>ジョウケン</t>
    </rPh>
    <rPh sb="21" eb="22">
      <t>ミ</t>
    </rPh>
    <rPh sb="29" eb="33">
      <t>イリョウキカン</t>
    </rPh>
    <rPh sb="38" eb="42">
      <t>ブンショジョウホウ</t>
    </rPh>
    <rPh sb="43" eb="46">
      <t>ショウカイサキ</t>
    </rPh>
    <rPh sb="49" eb="51">
      <t>セッテイ</t>
    </rPh>
    <phoneticPr fontId="2"/>
  </si>
  <si>
    <t xml:space="preserve">■起票背景
診療情報提供書の送付をおこなうにあたり、紹介元では「送付先医療機関の利用状況確認」機能を用い、 「電子カルテ情報共有サービス向け医療機関等マスタ」上の「電子カルテ情報共有サービス利用フラグ」を照会することにより、紹介先医療機関が文書を受領できる体制が整っているかを確認する仕組みがある。
しかしながら、係る「電子カルテ情報共有サービス利用フラグ」は医療機関からの申請に基づいて設定がおこなわれるため、サービス利用の前提条件を満たさなくなった場合（e.g. オン資の利用を停止したり、保険医療機関でなくなった場合）に、送付先医療機関の実態との乖離が生じるおそれがある。
文書情報の紹介先となる医療機関が電子カルテ情報共有サービスを利用する前提となる事項を満たさなくなった場合に、紹介先として設定できないように制御する必要がある。
■目的
電子カルテ情報共有サービスを利用できない状況となった医療機関に対して紹介状が送られることを防ぐ。
</t>
    <phoneticPr fontId="2"/>
  </si>
  <si>
    <t>電子カルテ情報共有サービスを利用できない医療機関に対して、文書情報が送付されることがないように制御することで、電子カルテ情報共有サービスを介して自身の紹介状が紹介先医療機関へ正しく伝達できるようになる。</t>
    <rPh sb="0" eb="2">
      <t>デンシ</t>
    </rPh>
    <rPh sb="5" eb="9">
      <t>ジョウホウキョウユウ</t>
    </rPh>
    <rPh sb="14" eb="16">
      <t>リヨウ</t>
    </rPh>
    <rPh sb="20" eb="24">
      <t>イリョウキカン</t>
    </rPh>
    <rPh sb="25" eb="26">
      <t>タイ</t>
    </rPh>
    <rPh sb="29" eb="33">
      <t>ブンショジョウホウ</t>
    </rPh>
    <rPh sb="34" eb="36">
      <t>ソウフ</t>
    </rPh>
    <rPh sb="47" eb="49">
      <t>セイギョ</t>
    </rPh>
    <rPh sb="55" eb="57">
      <t>デンシ</t>
    </rPh>
    <rPh sb="60" eb="64">
      <t>ジョウホウキョウユウ</t>
    </rPh>
    <rPh sb="69" eb="70">
      <t>カイ</t>
    </rPh>
    <rPh sb="72" eb="74">
      <t>ジシン</t>
    </rPh>
    <rPh sb="75" eb="78">
      <t>ショウカイジョウ</t>
    </rPh>
    <rPh sb="79" eb="82">
      <t>ショウカイサキ</t>
    </rPh>
    <rPh sb="82" eb="86">
      <t>イリョウキカン</t>
    </rPh>
    <rPh sb="87" eb="88">
      <t>タダ</t>
    </rPh>
    <rPh sb="90" eb="92">
      <t>デンタツ</t>
    </rPh>
    <phoneticPr fontId="2"/>
  </si>
  <si>
    <t>送付先施設の利用状況確認
診療情報提供書の登録</t>
    <rPh sb="0" eb="3">
      <t>ソウフサキ</t>
    </rPh>
    <rPh sb="3" eb="5">
      <t>シセツ</t>
    </rPh>
    <rPh sb="6" eb="10">
      <t>リヨウジョウキョウ</t>
    </rPh>
    <rPh sb="10" eb="12">
      <t>カクニン</t>
    </rPh>
    <phoneticPr fontId="2"/>
  </si>
  <si>
    <r>
      <t xml:space="preserve">■要求事項
機能：電子カルテ情報共有サービス施設利用状況回答（OQS-IF-045/046）
　　　　　文書情報登録機能（CIS-IF-101/102）・文書情報変更機能（CIS-IF-107/108）
内容：文書情報の紹介先となる医療機関が、電子カルテ情報共有サービスを利用する前提となる事項を満たさなくなった場合、以下のタイミングで紹介先として設定できないようにする。
</t>
    </r>
    <r>
      <rPr>
        <b/>
        <sz val="11"/>
        <color rgb="FF000000"/>
        <rFont val="Meiryo UI"/>
        <family val="3"/>
        <charset val="128"/>
      </rPr>
      <t xml:space="preserve">　文書情報の紹介先として設定を不可とする時期：
</t>
    </r>
    <r>
      <rPr>
        <sz val="11"/>
        <color rgb="FF000000"/>
        <rFont val="Meiryo UI"/>
        <family val="3"/>
        <charset val="128"/>
      </rPr>
      <t>　　1.オン資の利用を停止した場合：利用終了日の当日から
　　2.保険医療機関ではなくなった場合：
　　　a.遡及指定なし：廃止日の当日から
　　　b.遡及指定あり：廃止日の120日後から
※電子カルテ情報共有サービスを利用する前提を満たさなくなった場合は、即日、紹介状の送付先として指定できないようにする。(1,2-a)
　ただし、医療機関番号の継承申請をおこなっている場合は、（継承先医療機関で文書を受け取ることが可能であるため）廃止日の120日後から指定できないようにする。(2-b)
　なお、ここでの「120日」は、継承申請をおこなった医療機関に対し、オン資等システムを利用不可とするまでの猶予期間として定められた期間に等しい。
■備考
・総合ポータルサイトで「医療機関番号の新旧紐付け申請（承継申請）」を実施していない場合は、中央基盤側システムで「遡及指定の有無」を判定できないため、当該医療機関については「遡及指定なし（新旧紐付けなし）」として取り扱う。
・電子カルテ情報共有サービスを用いて紹介状を送付できない場合は、紙運用となる。
・医療機関マスタ上における、当該医療機関を表現する方法について併せて検討が必要。</t>
    </r>
    <phoneticPr fontId="2"/>
  </si>
  <si>
    <t>161</t>
  </si>
  <si>
    <t>161_01</t>
    <phoneticPr fontId="2"/>
  </si>
  <si>
    <t>実施機関</t>
    <rPh sb="0" eb="2">
      <t>ジッシ</t>
    </rPh>
    <rPh sb="2" eb="4">
      <t>キカン</t>
    </rPh>
    <phoneticPr fontId="2"/>
  </si>
  <si>
    <t>テストデータ作成ツールの改修(処方情報の蓋閉じ対応)</t>
    <phoneticPr fontId="2"/>
  </si>
  <si>
    <r>
      <rPr>
        <sz val="11"/>
        <color rgb="FFFF0000"/>
        <rFont val="Meiryo UI"/>
        <family val="3"/>
        <charset val="128"/>
      </rPr>
      <t xml:space="preserve">2026/8/10 ACN黒川
(リリース希望時期綺麗化作業)リリース希望時期を「令和8年度秋」から「令和8年度9月」に変更。
</t>
    </r>
    <r>
      <rPr>
        <sz val="11"/>
        <color theme="1"/>
        <rFont val="Meiryo UI"/>
        <family val="3"/>
        <charset val="128"/>
      </rPr>
      <t xml:space="preserve">
2026/3/23 基金細沼
開発業者がNTTDではなく富士通のため、Y列を「電カル共有」から「オン資」に変更
2026/01/05 基金宮脇
処方情報の蓋締めに対応する医療機関向けテストデータの対応</t>
    </r>
    <rPh sb="45" eb="46">
      <t>ド</t>
    </rPh>
    <rPh sb="46" eb="47">
      <t>アキ</t>
    </rPh>
    <phoneticPr fontId="2"/>
  </si>
  <si>
    <t>宮脇伸次</t>
  </si>
  <si>
    <t>テストデータ作成セットアップツールにおける処方情報の蓋締め対応。
および、実際の運用に則さない軽微な修正（DVフラグの対応や臨床情報閲覧の他院登録対応）</t>
  </si>
  <si>
    <t>利活用ワーキングの検討において、処方情報を活用しないことが示されたため、医療機関やベンダーが活用するテストデータに付随している臨床情報のデータを削除する対応を行う。</t>
  </si>
  <si>
    <t>医療機関やベンダーが活用するテストデータを作成するテストデータ作成セットアップツールに対して、臨床情報を削除する対応を行う。それとともに、次項等の軽微な修正も併せて実施を行う。①DVフラグの自己情報提供不可の患者の不開示該当のフラグがたっていない②臨床情報の登録している情報が自院の医療機関番号で登録されている情報になっているのを、他の医療機関番号に変更を行う。実際の運用に則したテストデータを用意し、電子カルテ情報共有サービスの開発効率を向上に寄与する。</t>
    <phoneticPr fontId="2"/>
  </si>
  <si>
    <t>医療機関向けテストデータ作成</t>
  </si>
  <si>
    <t>■要求事項
機能：テストデータ作成セットアップツールで作成する患者データの修正
内容：
①テストデータ作成セットアップツールに対して、テスト用資格に紐付けられている処方情報の削除
②閲覧用臨床情報の登録元医療機関コードの固定化（閲覧用健診情報に合わせて、「4910000000」に固定）
③F013（自己情報提供不可のフラグ患者）の資格の不開示フラグを有に変更</t>
  </si>
  <si>
    <t>162</t>
  </si>
  <si>
    <t>162_01</t>
    <phoneticPr fontId="2"/>
  </si>
  <si>
    <t>不開示該当フラグの設定された患者のマイナポータルにおける仕様改善</t>
    <rPh sb="0" eb="3">
      <t>フカイジ</t>
    </rPh>
    <rPh sb="3" eb="5">
      <t>ガイトウ</t>
    </rPh>
    <rPh sb="9" eb="11">
      <t>セッテイ</t>
    </rPh>
    <rPh sb="14" eb="16">
      <t>カンジャ</t>
    </rPh>
    <rPh sb="28" eb="30">
      <t>シヨウ</t>
    </rPh>
    <rPh sb="30" eb="32">
      <t>カイゼン</t>
    </rPh>
    <phoneticPr fontId="2"/>
  </si>
  <si>
    <r>
      <rPr>
        <sz val="11"/>
        <color rgb="FFFF0000"/>
        <rFont val="Meiryo UI"/>
        <family val="3"/>
        <charset val="128"/>
      </rPr>
      <t xml:space="preserve">2026/8/10 ACN黒川
(リリース希望時期綺麗化作業)リリース希望時期を「令和8年度秋」から「令和8年度9月」に変更。
</t>
    </r>
    <r>
      <rPr>
        <sz val="11"/>
        <color theme="1"/>
        <rFont val="Meiryo UI"/>
        <family val="3"/>
        <charset val="128"/>
      </rPr>
      <t xml:space="preserve">
2026/1/9 ACN本田
令和8年度秋の開発案件として新規起票</t>
    </r>
    <rPh sb="77" eb="79">
      <t>ホンダ</t>
    </rPh>
    <rPh sb="80" eb="82">
      <t>レイワ</t>
    </rPh>
    <rPh sb="83" eb="85">
      <t>ネンド</t>
    </rPh>
    <rPh sb="85" eb="86">
      <t>アキ</t>
    </rPh>
    <rPh sb="87" eb="89">
      <t>カイハツ</t>
    </rPh>
    <rPh sb="89" eb="91">
      <t>アンケン</t>
    </rPh>
    <rPh sb="94" eb="96">
      <t>シンキ</t>
    </rPh>
    <rPh sb="96" eb="98">
      <t>キヒョウ</t>
    </rPh>
    <phoneticPr fontId="2"/>
  </si>
  <si>
    <t>不開示該当フラグが設定されている場合でも、マイナポータルにおける文書情報一覧取得機能および文書情報取得履歴照会機能（被照会履歴情報閲覧機能）を利用できるよう、利用制御を解除する。</t>
    <rPh sb="55" eb="57">
      <t>キノウ</t>
    </rPh>
    <rPh sb="67" eb="69">
      <t>キノウ</t>
    </rPh>
    <phoneticPr fontId="2"/>
  </si>
  <si>
    <t>■起票背景
・令和8年3月の案件検討時、不開示該当フラグに関する前提事項が不明瞭（※）であったため、DV加害者に閲覧される可能性を想定し、本サービスにおけるDVフラグの利用制御に関する開発要件とした。
※不開示該当フラグが設定されたDV被害者である患者のマイナポータル内容が、DV加害者に伝わるのか否かが不明であった。
・その後、保険局による調査の結果、不開示該当フラグが設定された患者のマイナポータルは加害者から閲覧されない整理であることが判明した。
■目的
不開示該当フラグが設定されている患者が、本来マイナポータルで閲覧可能な文書情報一覧および被照会履歴情報を問題なく閲覧できるようにする。</t>
    <rPh sb="1" eb="3">
      <t>キヒョウ</t>
    </rPh>
    <rPh sb="3" eb="5">
      <t>ハイケイ</t>
    </rPh>
    <rPh sb="94" eb="96">
      <t>ヨウケン</t>
    </rPh>
    <rPh sb="229" eb="231">
      <t>モクテキ</t>
    </rPh>
    <phoneticPr fontId="2"/>
  </si>
  <si>
    <t>不開示該当フラグが設定されている患者が、本来マイナポータルで閲覧できても問題のない文書情報一覧や被照会履歴情報を閲覧できるようになる</t>
    <phoneticPr fontId="2"/>
  </si>
  <si>
    <t>マイナポータルにおける文書情報一覧や被照会履歴情報の閲覧</t>
    <rPh sb="26" eb="28">
      <t>エツラン</t>
    </rPh>
    <phoneticPr fontId="2"/>
  </si>
  <si>
    <t>■要求事項１
機能：マイナポータルにおける文書情報一覧
内容：不開示該当フラグが設定されいている患者に対して、マイナポータルにおける文書情報一覧が閲覧できないように制御しているため、閲覧できるように制御解除する。</t>
    <rPh sb="1" eb="3">
      <t>ヨウキュウ</t>
    </rPh>
    <rPh sb="31" eb="36">
      <t>フカイジガイトウ</t>
    </rPh>
    <rPh sb="40" eb="42">
      <t>セッテイ</t>
    </rPh>
    <rPh sb="48" eb="50">
      <t>カンジャ</t>
    </rPh>
    <rPh sb="51" eb="52">
      <t>タイ</t>
    </rPh>
    <rPh sb="66" eb="68">
      <t>ブンショ</t>
    </rPh>
    <rPh sb="68" eb="70">
      <t>ジョウホウ</t>
    </rPh>
    <rPh sb="70" eb="72">
      <t>イチラン</t>
    </rPh>
    <rPh sb="73" eb="75">
      <t>エツラン</t>
    </rPh>
    <rPh sb="82" eb="84">
      <t>セイギョ</t>
    </rPh>
    <rPh sb="91" eb="93">
      <t>エツラン</t>
    </rPh>
    <rPh sb="99" eb="101">
      <t>セイギョ</t>
    </rPh>
    <rPh sb="101" eb="103">
      <t>カイジョ</t>
    </rPh>
    <phoneticPr fontId="2"/>
  </si>
  <si>
    <t>マイナポータル</t>
    <phoneticPr fontId="2"/>
  </si>
  <si>
    <t>162_02</t>
    <phoneticPr fontId="2"/>
  </si>
  <si>
    <r>
      <rPr>
        <sz val="11"/>
        <color rgb="FFFF0000"/>
        <rFont val="Meiryo UI"/>
        <family val="3"/>
        <charset val="128"/>
      </rPr>
      <t xml:space="preserve">2026/8/10 ACN黒川
(リリース希望時期綺麗化作業)リリース希望時期を「令和8年度秋」から「令和8年度9月」に変更。
</t>
    </r>
    <r>
      <rPr>
        <sz val="11"/>
        <color theme="0" tint="-0.499984740745262"/>
        <rFont val="Meiryo UI"/>
        <family val="3"/>
        <charset val="128"/>
      </rPr>
      <t xml:space="preserve">
2026/1/9 ACN本田
令和8年度秋の開発案件として新規起票</t>
    </r>
    <rPh sb="77" eb="79">
      <t>ホンダ</t>
    </rPh>
    <rPh sb="80" eb="82">
      <t>レイワ</t>
    </rPh>
    <rPh sb="83" eb="85">
      <t>ネンド</t>
    </rPh>
    <rPh sb="85" eb="86">
      <t>アキ</t>
    </rPh>
    <rPh sb="87" eb="89">
      <t>カイハツ</t>
    </rPh>
    <rPh sb="89" eb="91">
      <t>アンケン</t>
    </rPh>
    <rPh sb="94" eb="96">
      <t>シンキ</t>
    </rPh>
    <rPh sb="96" eb="98">
      <t>キヒョウ</t>
    </rPh>
    <phoneticPr fontId="2"/>
  </si>
  <si>
    <t xml:space="preserve">■要求事項2
機能：マイナポータルにおける被照会履歴情報閲覧機能
内容：不開示該当フラグが設定されいている患者に対して、マイナポータルにおける被照会履歴情報が閲覧できないように制御しているため、閲覧できるように制御解除する。
</t>
    <rPh sb="0" eb="5">
      <t>シカクヨウキュウジコウ</t>
    </rPh>
    <rPh sb="21" eb="22">
      <t>ヒ</t>
    </rPh>
    <rPh sb="22" eb="24">
      <t>ショウカイ</t>
    </rPh>
    <rPh sb="24" eb="26">
      <t>リレキ</t>
    </rPh>
    <rPh sb="26" eb="28">
      <t>ジョウホウ</t>
    </rPh>
    <rPh sb="28" eb="30">
      <t>エツラン</t>
    </rPh>
    <rPh sb="30" eb="32">
      <t>キノウ</t>
    </rPh>
    <phoneticPr fontId="2"/>
  </si>
  <si>
    <t>163</t>
  </si>
  <si>
    <t>163_01</t>
    <phoneticPr fontId="2"/>
  </si>
  <si>
    <r>
      <rPr>
        <sz val="11"/>
        <color rgb="FF000000"/>
        <rFont val="Meiryo UI"/>
        <family val="3"/>
        <charset val="128"/>
      </rPr>
      <t>ログ・統計機能の改修(</t>
    </r>
    <r>
      <rPr>
        <sz val="11"/>
        <color rgb="FF0000FF"/>
        <rFont val="Meiryo UI"/>
        <family val="3"/>
        <charset val="128"/>
      </rPr>
      <t>R8年度</t>
    </r>
    <r>
      <rPr>
        <sz val="11"/>
        <color rgb="FF000000"/>
        <rFont val="Meiryo UI"/>
        <family val="3"/>
        <charset val="128"/>
      </rPr>
      <t>)</t>
    </r>
  </si>
  <si>
    <r>
      <rPr>
        <sz val="11"/>
        <color rgb="FFFF0000"/>
        <rFont val="Meiryo UI"/>
        <family val="3"/>
        <charset val="128"/>
      </rPr>
      <t xml:space="preserve">2026/8/10 ACN黒川
(リリース希望時期綺麗化作業)リリース希望時期を「令和8年度秋」から「令和8年度3月」に変更。
</t>
    </r>
    <r>
      <rPr>
        <sz val="11"/>
        <color rgb="FF000000"/>
        <rFont val="Meiryo UI"/>
        <family val="3"/>
        <charset val="128"/>
      </rPr>
      <t xml:space="preserve">
2026/6/19 ACN本田
・0617モデル定例にて基金より「２．臨床情報に関する統計」の集計イメージに相違ないかの確認を受領した。それを踏まえ、要求事項に以下を追記。
「令和8年9月リリースに向けてモデル検証のために先んじて開発を行った分が案件163よりも詳細な統計情報であれば、案件163の開発でそれより粗い統計情報を出力する開発で上書きする必要はない」
・案件名称がリリース時期と不一致のため、修正
修正前：ログ・統計機能の改修(R8.秋)
修正後：ログ・統計機能の改修(R8年度)
2026/2/26 ACN櫻井
要求事項を更新
2026/2/23 ACN本田
要求事項を更新
2026/2/2 ACN本田
案件168とマージすることとなったため、案件名称および要件を更新。
2026/1/9 ACN本田
令和8年度秋の開発案件として新規起票+</t>
    </r>
    <phoneticPr fontId="2"/>
  </si>
  <si>
    <t>令和7年に開発できなかったログ・統計機能の改修を実施する</t>
    <rPh sb="0" eb="2">
      <t>レイワ</t>
    </rPh>
    <rPh sb="3" eb="4">
      <t>ネン</t>
    </rPh>
    <rPh sb="5" eb="7">
      <t>カイハツ</t>
    </rPh>
    <rPh sb="16" eb="18">
      <t>トウケイ</t>
    </rPh>
    <rPh sb="18" eb="20">
      <t>キノウ</t>
    </rPh>
    <rPh sb="21" eb="23">
      <t>カイシュウ</t>
    </rPh>
    <rPh sb="24" eb="26">
      <t>ジッシ</t>
    </rPh>
    <phoneticPr fontId="2"/>
  </si>
  <si>
    <t>■起票背景
・電子カルテ情報共有サービスの運用費は保険者にて負担いただく想定である。
・本サービスを医療機関が導入していくことのメリットとして、特定健診以外の健診情報を保険者が取得できることである。
・電子カルテ情報共有サービスは2030年までに全国的に普及させることを目標としている
■目的
・厚労省・基金が、保険者に本サービスの運用負担金の調整を行うときに、保険者が運用負担することによる利点を説明するため
・電子カルテ情報共有サービスの普及を推進するために現状を把握する必要がある</t>
    <rPh sb="1" eb="5">
      <t>キヒョウハイケイ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rPh sb="36" eb="38">
      <t>ソウテイ</t>
    </rPh>
    <phoneticPr fontId="2"/>
  </si>
  <si>
    <t>保険者に本サービスを運用していくことのメリットを厚労省や基金から説明する必要があるが、根拠となるデータが取得できない</t>
    <rPh sb="24" eb="27">
      <t>コウロウショウ</t>
    </rPh>
    <rPh sb="28" eb="30">
      <t>キキン</t>
    </rPh>
    <phoneticPr fontId="2"/>
  </si>
  <si>
    <t>なし</t>
    <phoneticPr fontId="2"/>
  </si>
  <si>
    <t>運用監視</t>
    <rPh sb="0" eb="2">
      <t>ウンヨウ</t>
    </rPh>
    <rPh sb="2" eb="4">
      <t>カンシ</t>
    </rPh>
    <phoneticPr fontId="2"/>
  </si>
  <si>
    <r>
      <rPr>
        <sz val="11"/>
        <color rgb="FF000000"/>
        <rFont val="Meiryo UI"/>
        <family val="3"/>
        <charset val="128"/>
      </rPr>
      <t xml:space="preserve">■要求事項
機能：ログ出力機能
ログの内容：
１．健診診文書に関する統計
＜オン資基盤への登録＞
①本サービスをとおして医療機関から登録された健診種別ごとの健診文書数
　　年単位/月単位での
健診種別ごとの健診文書登録数
保険者種別（法別番号）ごとの健診文書登録数
各保険者ごとの健診文書登録数
②既存ルート(随時報告・法定報告)をとおして保険者から登録された健診文書数
　 年単位/月単位での
健診種別ごとの登録数
保険者種別ごとの登録数
各保険者ごとの登録数
＜保険者の取得＞
※保険者取得データにおいて本サービス由来の健診登録データと既存ルート由来の健診登録データがマージされたものも取得できる想定で記載しているが詳細仕様は基金側にて確認いただきたい。
③本サービス由来の健診登録データと既存ルート由来の健診登録データで構成される健診文書の保険者の取得数
　　年単位/月単位での
健診種別ごとの取得数
保険者種別（法別番号別）ごとの取得数
各保険者ごとの取得数
④本サービス由来の健診登録データのみで構成される健診文書の保険者の取得数
　　年単位/月単位での
健診種別ごとの取得数
保険者種別（法別番号別）ごとの取得数
各保険者ごとの取得数
＜医療機関での閲覧＞
⑤電カル共有由来の健診登録データのみで構成される健診文書がXMLで取得された件数
　　年/月/週単位、医療機関単位で
XMLが取得された件数
健診文書XMLが取得された患者の数（患者資格数）
⑥電カル共有由来の健診登録データのみで構成される健診文書がPDFで取得された件数
　　年/月/週単位、医療機関単位で
PDFが取得された件数+Z115
健診文書PDFが取得された患者の数（患者資格数）
⑦電カル共有由来の健診登録データと既存ルート由来の健診登録データで構成される健診文書がXMLで取得された件数
　　年/月/週単位、医療機関単位で
XMLが取得された件数
健診文書XMLが取得された患者の数（患者資格数）
⑧電カル共有由来の健診登録データと既存ルート由来の健診登録データで構成される健診文書がPDFで取得された件数
　　年/月/週単位、医療機関単位で
PDFが取得された件数
健診文書PDFが取得された患者の数（患者資格数）
２．臨床情報に関する統計＜医療機関の閲覧＞
①臨床情報閲覧要求施設以外が登録した臨床情報が５情報のうち1件でも登録されている患者の臨床情報がXMLで取得された件数
　　年/月/週単位、医療機関単位で
XMLが取得された件数
臨床情報XMLが取得された患者の数（患者資格数）
②臨床情報閲覧要求施設以外が登録した臨床情報が５情報のうち1件でも登録されている患者の臨床情報がPDFで取得された件数
　　年/月/週単位、医療機関単位で
PDFが取得された件数
臨床情報PDFが取得された患者の数（患者資格数）
</t>
    </r>
    <r>
      <rPr>
        <sz val="11"/>
        <color rgb="FFFF0000"/>
        <rFont val="Meiryo UI"/>
        <family val="3"/>
        <charset val="128"/>
      </rPr>
      <t xml:space="preserve">※「２．臨床情報に関する統計」については、令和8年9月リリースに向けてモデル検証のために先んじて開発を行った分が案件163よりも詳細な統計情報であれば、案件163の開発でそれより粗い統計情報を出力する開発で上書きする必要はない。
</t>
    </r>
    <r>
      <rPr>
        <sz val="11"/>
        <color rgb="FF000000"/>
        <rFont val="Meiryo UI"/>
        <family val="3"/>
        <charset val="128"/>
      </rPr>
      <t xml:space="preserve">
3．令和7年度案件の残対応（オン資のみ）
要求事項1-1「リクエストの方法(資格確認端末か)」
要求事項2-13「特定健診情報閲覧件数（医療機関）」
要求事項2-14「特定健診情報閲覧件数（保険者）」
要求事項5-2「医療機関閲覧に係る事前の同意/不同意の取得件数(資格数)」
要求事項5-3「医療機関閲覧に係る事前の同意/不同意の取得件数(年齢別)」
要求事項5-3「医療機関閲覧に係る事前の同意/不同意の取得件数(性別別)」
要求事項5-6「マイナポータルでの取得リクエスト数（傷病名個別PDF）」
要求事項5-8「マイナポータルでの取得リクエスト数（アレルギー等個別PDF）」
要求事項5-10「マイナポータルでの取得リクエスト数（感染症個別PDF）」
要求事項5-12「マイナポータルでの取得リクエスト数（検査結果個別PDF）」
要求事項5-14「マイナポータルでの取得リクエスト数（紹介状等に記載された処方情報の個別PDF）」
要求事項5-15「マイナポータルでの取得リクエスト数（患者サマリ－）」
要求事項5-16「マイナポータルでの取得リクエスト数（患者サマリ－PDF）」</t>
    </r>
    <phoneticPr fontId="2"/>
  </si>
  <si>
    <t>164</t>
  </si>
  <si>
    <t>164_01</t>
    <phoneticPr fontId="2"/>
  </si>
  <si>
    <t>臨床情報:全般</t>
    <rPh sb="0" eb="2">
      <t>リンショウ</t>
    </rPh>
    <rPh sb="5" eb="7">
      <t>ゼンパン</t>
    </rPh>
    <phoneticPr fontId="2"/>
  </si>
  <si>
    <t>保存期間を超過した臨床情報を医療機関が更新・削除を実施しようとした際に対する改修</t>
    <rPh sb="0" eb="2">
      <t>ホゾン</t>
    </rPh>
    <rPh sb="2" eb="4">
      <t>キカン</t>
    </rPh>
    <rPh sb="5" eb="7">
      <t>チョウカ</t>
    </rPh>
    <rPh sb="9" eb="13">
      <t>リンショウジョウホウ</t>
    </rPh>
    <rPh sb="14" eb="16">
      <t>イリョウ</t>
    </rPh>
    <rPh sb="16" eb="18">
      <t>キカン</t>
    </rPh>
    <rPh sb="19" eb="21">
      <t>コウシン</t>
    </rPh>
    <rPh sb="22" eb="24">
      <t>サクジョ</t>
    </rPh>
    <rPh sb="25" eb="27">
      <t>ジッシ</t>
    </rPh>
    <rPh sb="33" eb="34">
      <t>サイ</t>
    </rPh>
    <rPh sb="35" eb="36">
      <t>タイ</t>
    </rPh>
    <rPh sb="38" eb="40">
      <t>カイシュウ</t>
    </rPh>
    <phoneticPr fontId="2"/>
  </si>
  <si>
    <r>
      <rPr>
        <sz val="11"/>
        <color rgb="FFFF0000"/>
        <rFont val="Meiryo UI"/>
        <family val="3"/>
        <charset val="128"/>
      </rPr>
      <t xml:space="preserve">2026/8/18 ACN黒川
登録時に関する要求事項であることを踏まえ、案件区分を「臨床情報:全般(患者サマリ含む)」から「臨床情報:全般」に変更。
2026/8/10 ACN黒川
(リリース希望時期綺麗化作業)リリース希望時期を「令和8年度秋」から「令和8年度9月」に変更。
</t>
    </r>
    <r>
      <rPr>
        <sz val="11"/>
        <color theme="1"/>
        <rFont val="Meiryo UI"/>
        <family val="3"/>
        <charset val="128"/>
      </rPr>
      <t xml:space="preserve">
2026/2/24 ACN本田
2/24 開発課題検討会におけるJAHISからの確認結果の報告を受け、要求事項を更新
2026/2/23 ACN本田
基金にてJAHISに要件確認中であるが、仮の要求事項を追記
2026/1/9 ACN本田
令和8年度秋の開発案件として新規起票
※要件はTODO#850で基金にて検討中</t>
    </r>
    <rPh sb="13" eb="15">
      <t>クロカワ</t>
    </rPh>
    <rPh sb="16" eb="18">
      <t>トウロク</t>
    </rPh>
    <rPh sb="18" eb="19">
      <t>ジ</t>
    </rPh>
    <rPh sb="20" eb="21">
      <t>カン</t>
    </rPh>
    <rPh sb="23" eb="25">
      <t>ヨウキュウ</t>
    </rPh>
    <rPh sb="25" eb="27">
      <t>ジコウ</t>
    </rPh>
    <rPh sb="33" eb="34">
      <t>フ</t>
    </rPh>
    <rPh sb="37" eb="39">
      <t>アンケン</t>
    </rPh>
    <rPh sb="39" eb="41">
      <t>クブン</t>
    </rPh>
    <rPh sb="72" eb="74">
      <t>ヘンコウ</t>
    </rPh>
    <rPh sb="155" eb="157">
      <t>ホンダ</t>
    </rPh>
    <rPh sb="163" eb="165">
      <t>カイハツ</t>
    </rPh>
    <rPh sb="165" eb="167">
      <t>カダイ</t>
    </rPh>
    <rPh sb="167" eb="170">
      <t>ケントウカイ</t>
    </rPh>
    <rPh sb="182" eb="184">
      <t>カクニン</t>
    </rPh>
    <rPh sb="184" eb="186">
      <t>ケッカ</t>
    </rPh>
    <rPh sb="187" eb="189">
      <t>ホウコク</t>
    </rPh>
    <rPh sb="190" eb="191">
      <t>ウ</t>
    </rPh>
    <rPh sb="193" eb="195">
      <t>ヨウキュウ</t>
    </rPh>
    <rPh sb="195" eb="197">
      <t>ジコウ</t>
    </rPh>
    <rPh sb="198" eb="200">
      <t>コウシン</t>
    </rPh>
    <rPh sb="215" eb="217">
      <t>ホンダ</t>
    </rPh>
    <rPh sb="218" eb="220">
      <t>キキン</t>
    </rPh>
    <rPh sb="228" eb="230">
      <t>ヨウケン</t>
    </rPh>
    <rPh sb="230" eb="232">
      <t>カクニン</t>
    </rPh>
    <rPh sb="232" eb="233">
      <t>チュウ</t>
    </rPh>
    <rPh sb="238" eb="239">
      <t>カリ</t>
    </rPh>
    <rPh sb="240" eb="242">
      <t>ヨウキュウ</t>
    </rPh>
    <rPh sb="242" eb="244">
      <t>ジコウ</t>
    </rPh>
    <rPh sb="245" eb="247">
      <t>ツイキ</t>
    </rPh>
    <rPh sb="261" eb="263">
      <t>ホンダ</t>
    </rPh>
    <rPh sb="264" eb="266">
      <t>レイワ</t>
    </rPh>
    <rPh sb="267" eb="269">
      <t>ネンド</t>
    </rPh>
    <rPh sb="269" eb="270">
      <t>アキ</t>
    </rPh>
    <rPh sb="271" eb="273">
      <t>カイハツ</t>
    </rPh>
    <rPh sb="273" eb="275">
      <t>アンケン</t>
    </rPh>
    <rPh sb="278" eb="280">
      <t>シンキ</t>
    </rPh>
    <rPh sb="280" eb="282">
      <t>キヒョウ</t>
    </rPh>
    <rPh sb="284" eb="286">
      <t>ヨウケン</t>
    </rPh>
    <rPh sb="296" eb="298">
      <t>キキン</t>
    </rPh>
    <rPh sb="300" eb="303">
      <t>ケントウチュウ</t>
    </rPh>
    <phoneticPr fontId="2"/>
  </si>
  <si>
    <t>保存期間を超過した臨床情報を医療機関が更新・削除を実施しようとした際に対応できるように、中央基盤より、医療機関に対して臨床情報の保存期間を連携する</t>
    <rPh sb="0" eb="2">
      <t>ホゾン</t>
    </rPh>
    <rPh sb="2" eb="4">
      <t>キカン</t>
    </rPh>
    <rPh sb="5" eb="7">
      <t>チョウカ</t>
    </rPh>
    <rPh sb="9" eb="11">
      <t>リンショウ</t>
    </rPh>
    <rPh sb="11" eb="13">
      <t>ジョウホウ</t>
    </rPh>
    <rPh sb="14" eb="16">
      <t>イリョウ</t>
    </rPh>
    <rPh sb="16" eb="18">
      <t>キカン</t>
    </rPh>
    <rPh sb="19" eb="21">
      <t>コウシン</t>
    </rPh>
    <rPh sb="22" eb="24">
      <t>サクジョ</t>
    </rPh>
    <rPh sb="25" eb="27">
      <t>ジッシ</t>
    </rPh>
    <rPh sb="33" eb="34">
      <t>サイ</t>
    </rPh>
    <rPh sb="35" eb="37">
      <t>タイオウ</t>
    </rPh>
    <rPh sb="44" eb="48">
      <t>チュウオウキバン</t>
    </rPh>
    <rPh sb="51" eb="53">
      <t>イリョウ</t>
    </rPh>
    <rPh sb="53" eb="55">
      <t>キカン</t>
    </rPh>
    <rPh sb="56" eb="57">
      <t>タイ</t>
    </rPh>
    <rPh sb="59" eb="63">
      <t>リンショウジョウホウ</t>
    </rPh>
    <rPh sb="64" eb="66">
      <t>ホゾン</t>
    </rPh>
    <rPh sb="66" eb="68">
      <t>キカン</t>
    </rPh>
    <rPh sb="69" eb="71">
      <t>レンケイ</t>
    </rPh>
    <phoneticPr fontId="2"/>
  </si>
  <si>
    <t>■起票背景
・保存期間を超過した臨床情報を医療機関が更新・削除を実施しようとするとエラーとなるが、以下の現状であり医療機関システム側の対応方法について定まっていない。（技術解説書2.0.0版ドラフト公開時に、JAHISより要望を受領した）
・現行のエラーメッセージからは本件が原因となっていることが読み取ることができない。（他のエラーとエラーID・メッセージが同じ）
・保存期間のカウント仕様が不明瞭
・いつ保存期間が超過するかの情報が医療機関システム側にない
■目的
・保存期間を超過した臨床情報を医療機関が更新・削除を実施した際に、エラーが生じた原因を医療機関・システムベンダが把握することができ、保存期間を超過した臨床情報を更新する際は医療機関が新しいBundle.Idを採番して本サービスへ登録できる。</t>
    <rPh sb="1" eb="3">
      <t>キヒョウ</t>
    </rPh>
    <rPh sb="3" eb="5">
      <t>ハイケイ</t>
    </rPh>
    <rPh sb="7" eb="9">
      <t>ホゾン</t>
    </rPh>
    <rPh sb="9" eb="11">
      <t>キカン</t>
    </rPh>
    <rPh sb="12" eb="14">
      <t>チョウカ</t>
    </rPh>
    <rPh sb="16" eb="20">
      <t>リンショウジョウホウ</t>
    </rPh>
    <rPh sb="21" eb="23">
      <t>イリョウ</t>
    </rPh>
    <rPh sb="23" eb="25">
      <t>キカン</t>
    </rPh>
    <rPh sb="26" eb="28">
      <t>コウシン</t>
    </rPh>
    <rPh sb="29" eb="31">
      <t>サクジョ</t>
    </rPh>
    <rPh sb="32" eb="34">
      <t>ジッシ</t>
    </rPh>
    <rPh sb="49" eb="51">
      <t>イカ</t>
    </rPh>
    <rPh sb="52" eb="54">
      <t>ゲンジョウ</t>
    </rPh>
    <rPh sb="57" eb="59">
      <t>イリョウ</t>
    </rPh>
    <rPh sb="59" eb="61">
      <t>キカン</t>
    </rPh>
    <rPh sb="65" eb="66">
      <t>ガワ</t>
    </rPh>
    <rPh sb="67" eb="69">
      <t>タイオウ</t>
    </rPh>
    <rPh sb="69" eb="71">
      <t>ホウホウ</t>
    </rPh>
    <rPh sb="75" eb="76">
      <t>サダ</t>
    </rPh>
    <rPh sb="121" eb="123">
      <t>ゲンコウ</t>
    </rPh>
    <rPh sb="135" eb="137">
      <t>ホンケン</t>
    </rPh>
    <rPh sb="138" eb="140">
      <t>ゲンイン</t>
    </rPh>
    <rPh sb="149" eb="150">
      <t>ヨ</t>
    </rPh>
    <rPh sb="151" eb="152">
      <t>ト</t>
    </rPh>
    <rPh sb="162" eb="163">
      <t>ホカ</t>
    </rPh>
    <rPh sb="180" eb="181">
      <t>オナ</t>
    </rPh>
    <rPh sb="194" eb="196">
      <t>シヨウ</t>
    </rPh>
    <rPh sb="197" eb="200">
      <t>フメイリョウ</t>
    </rPh>
    <rPh sb="204" eb="206">
      <t>ホゾン</t>
    </rPh>
    <rPh sb="206" eb="208">
      <t>キカン</t>
    </rPh>
    <rPh sb="209" eb="211">
      <t>チョウカ</t>
    </rPh>
    <rPh sb="215" eb="217">
      <t>ジョウホウ</t>
    </rPh>
    <rPh sb="218" eb="222">
      <t>イリョウキカン</t>
    </rPh>
    <rPh sb="226" eb="227">
      <t>ガワ</t>
    </rPh>
    <rPh sb="233" eb="235">
      <t>モクテキ</t>
    </rPh>
    <rPh sb="266" eb="267">
      <t>サイ</t>
    </rPh>
    <rPh sb="273" eb="274">
      <t>ショウ</t>
    </rPh>
    <rPh sb="276" eb="278">
      <t>ゲンイン</t>
    </rPh>
    <rPh sb="292" eb="294">
      <t>ハアク</t>
    </rPh>
    <rPh sb="316" eb="318">
      <t>コウシン</t>
    </rPh>
    <rPh sb="320" eb="321">
      <t>サイ</t>
    </rPh>
    <rPh sb="322" eb="324">
      <t>イリョウ</t>
    </rPh>
    <rPh sb="324" eb="326">
      <t>キカン</t>
    </rPh>
    <rPh sb="327" eb="328">
      <t>アタラ</t>
    </rPh>
    <rPh sb="340" eb="342">
      <t>サイバン</t>
    </rPh>
    <rPh sb="344" eb="345">
      <t>ホン</t>
    </rPh>
    <rPh sb="350" eb="352">
      <t>トウロク</t>
    </rPh>
    <phoneticPr fontId="2"/>
  </si>
  <si>
    <t>・保存期間を超過した臨床情報を医療機関が更新・削除を実施した際に、エラーが生じた原因を医療機関・システムベンダが把握することができ、保存期間を超過した臨床情報を更新する際は医療機関が新しいBundle.Idを採番して本サービスへ登録できる。</t>
    <phoneticPr fontId="2"/>
  </si>
  <si>
    <t>臨床情報の更新・削除</t>
    <rPh sb="0" eb="4">
      <t>リンショウジョウホウ</t>
    </rPh>
    <rPh sb="5" eb="7">
      <t>コウシン</t>
    </rPh>
    <rPh sb="8" eb="10">
      <t>サクジョ</t>
    </rPh>
    <phoneticPr fontId="2"/>
  </si>
  <si>
    <r>
      <t>■要求事項
機能：アドオンチェック
内容：
・変更リクエストを送信した際に、対象IDが存在しない場合、中央基盤側で登録リクエストとして処理する。なお、処理変換されたことは</t>
    </r>
    <r>
      <rPr>
        <b/>
        <sz val="11"/>
        <color theme="1"/>
        <rFont val="Meiryo UI"/>
        <family val="3"/>
        <charset val="128"/>
      </rPr>
      <t>インフォメーション</t>
    </r>
    <r>
      <rPr>
        <sz val="11"/>
        <color theme="1"/>
        <rFont val="Meiryo UI"/>
        <family val="3"/>
        <charset val="128"/>
      </rPr>
      <t>で通知する。
※削除リクエストを送信した際には、現行の返却エラーメッセージのままとなる。</t>
    </r>
    <rPh sb="102" eb="104">
      <t>サクジョ</t>
    </rPh>
    <rPh sb="110" eb="112">
      <t>ソウシン</t>
    </rPh>
    <rPh sb="114" eb="115">
      <t>サイ</t>
    </rPh>
    <rPh sb="118" eb="120">
      <t>ゲンコウ</t>
    </rPh>
    <rPh sb="121" eb="123">
      <t>ヘンキャク</t>
    </rPh>
    <phoneticPr fontId="2"/>
  </si>
  <si>
    <t>165</t>
  </si>
  <si>
    <t>165-01</t>
    <phoneticPr fontId="2"/>
  </si>
  <si>
    <t>オンライン資格確認等システムにおける一般アカウントおよび医療情報閲覧アカウントから閲覧できる情報の範囲の見直し</t>
    <rPh sb="28" eb="32">
      <t>イリョウジョウホウ</t>
    </rPh>
    <rPh sb="32" eb="34">
      <t>エツラン</t>
    </rPh>
    <rPh sb="52" eb="54">
      <t>ミナオ</t>
    </rPh>
    <phoneticPr fontId="2"/>
  </si>
  <si>
    <r>
      <rPr>
        <sz val="11"/>
        <color rgb="FFFF0000"/>
        <rFont val="Meiryo UI"/>
        <family val="3"/>
        <charset val="128"/>
      </rPr>
      <t xml:space="preserve">2026/8/10 ACN黒川
(リリース希望時期綺麗化作業)リリース希望時期を「令和8年度秋」から「令和8年度12月」に変更。
</t>
    </r>
    <r>
      <rPr>
        <sz val="11"/>
        <color theme="1"/>
        <rFont val="Meiryo UI"/>
        <family val="3"/>
        <charset val="128"/>
      </rPr>
      <t xml:space="preserve">
2026/4/9 基金　細沼
再検討の結果、改修することとなったため要求事項を更新。 
2026/2/12 基金　細沼
M列「背景・目的」を追記した。
2026/1/30 基金 細沼
新規起票</t>
    </r>
    <rPh sb="58" eb="59">
      <t>ガツ</t>
    </rPh>
    <rPh sb="81" eb="84">
      <t>サイケントウ</t>
    </rPh>
    <rPh sb="85" eb="87">
      <t>ケッカ</t>
    </rPh>
    <rPh sb="88" eb="90">
      <t>カイシュウ</t>
    </rPh>
    <rPh sb="100" eb="102">
      <t>ヨウキュウ</t>
    </rPh>
    <rPh sb="102" eb="104">
      <t>ジコウ</t>
    </rPh>
    <phoneticPr fontId="2"/>
  </si>
  <si>
    <t>基金細沼</t>
  </si>
  <si>
    <t>オンライン資格確認等システムにおける一般アカウントの閲覧権限を見直す（臨床情報検索機能）。また医療情報閲覧アカウントの閲覧権限も見直す（文書情報検索機能）。</t>
    <rPh sb="39" eb="41">
      <t>ケンサク</t>
    </rPh>
    <rPh sb="41" eb="43">
      <t>キノウ</t>
    </rPh>
    <rPh sb="72" eb="74">
      <t>ケンサク</t>
    </rPh>
    <rPh sb="74" eb="76">
      <t>キノウ</t>
    </rPh>
    <phoneticPr fontId="2"/>
  </si>
  <si>
    <t>■背景
・医療機関における有資格者の利用が想定されている医療情報閲覧アカウントで、医療情報を閲覧することができる。他方で医療機関の窓口職員の利用が想定されている一般アカウントでも、医療情報のうち臨床情報を閲覧することができる。
・一般アカウントでは、文書情報検索（診療情報提供書の同意情報や取得状況のみ）を使用することができるが、医療情報閲覧アカウントでは、使用することができない。
■目的
医療機関の運用にあわせた機能とする。</t>
    <rPh sb="129" eb="131">
      <t>ケンサク</t>
    </rPh>
    <rPh sb="153" eb="155">
      <t>シヨウ</t>
    </rPh>
    <rPh sb="179" eb="181">
      <t>シヨウ</t>
    </rPh>
    <phoneticPr fontId="2"/>
  </si>
  <si>
    <t xml:space="preserve">・一般アカウントで臨床情報検索機能を不可とすることで、医療機関において医療情報を閲覧できないアカウントを設定することができる。
・医療情報閲覧アカウントで文書情報検索機能を利用することができる。
</t>
    <rPh sb="1" eb="3">
      <t>イッパン</t>
    </rPh>
    <rPh sb="9" eb="13">
      <t>リンショウジョウホウ</t>
    </rPh>
    <rPh sb="13" eb="17">
      <t>ケンサクキノウ</t>
    </rPh>
    <rPh sb="18" eb="20">
      <t>フカ</t>
    </rPh>
    <rPh sb="27" eb="31">
      <t>イリョウキカン</t>
    </rPh>
    <rPh sb="35" eb="39">
      <t>イリョウジョウホウ</t>
    </rPh>
    <rPh sb="40" eb="42">
      <t>エツラン</t>
    </rPh>
    <rPh sb="52" eb="54">
      <t>セッテイ</t>
    </rPh>
    <rPh sb="65" eb="71">
      <t>イリョウジョウホウエツラン</t>
    </rPh>
    <rPh sb="77" eb="81">
      <t>ブンショジョウホウ</t>
    </rPh>
    <rPh sb="81" eb="83">
      <t>ケンサク</t>
    </rPh>
    <rPh sb="83" eb="85">
      <t>キノウ</t>
    </rPh>
    <rPh sb="86" eb="88">
      <t>リヨウ</t>
    </rPh>
    <phoneticPr fontId="2"/>
  </si>
  <si>
    <t>令和8年度12月</t>
    <rPh sb="0" eb="2">
      <t>レイワ</t>
    </rPh>
    <rPh sb="3" eb="5">
      <t>ネンド</t>
    </rPh>
    <rPh sb="7" eb="8">
      <t>ガツ</t>
    </rPh>
    <phoneticPr fontId="2"/>
  </si>
  <si>
    <t>オンライン資格確認等システムの一般アカウントおよび医療情報閲覧アカウントにおける医療情報・文書情報の閲覧</t>
    <rPh sb="5" eb="7">
      <t>シカク</t>
    </rPh>
    <rPh sb="7" eb="9">
      <t>カクニン</t>
    </rPh>
    <rPh sb="9" eb="10">
      <t>トウ</t>
    </rPh>
    <rPh sb="15" eb="17">
      <t>イッパン</t>
    </rPh>
    <rPh sb="25" eb="31">
      <t>イリョウジョウホウエツラン</t>
    </rPh>
    <rPh sb="40" eb="44">
      <t>イリョウジョウホウ</t>
    </rPh>
    <rPh sb="45" eb="49">
      <t>ブンショジョウホウ</t>
    </rPh>
    <rPh sb="50" eb="52">
      <t>エツラン</t>
    </rPh>
    <phoneticPr fontId="2"/>
  </si>
  <si>
    <t>■要求事項
以下2点を改修する。
・資格確認端末におけるオンライン資格確認等システムの一般アカウントで、臨床情報検索機能を使用できないようにする。
・資格確認端末におけるオンライン資格確認等システムの医療情報閲覧アカウントで、文書情報検索機能を使用できるようにする。</t>
    <rPh sb="52" eb="60">
      <t>リンショウジョウホウケンサクキノウ</t>
    </rPh>
    <rPh sb="61" eb="63">
      <t>シヨウ</t>
    </rPh>
    <phoneticPr fontId="2"/>
  </si>
  <si>
    <t>2026/3/9　基金　細沼
3/9開発課題検討会議より、厚労省で再検討の結果、一般アカウントと医療情報閲覧アカウントの閲覧範囲に関し改修をおこなうこととなった。
2026/3/3開発課題検討会にて、厚労省から、普及の観点から、R9年度以降開発として、整理したい、R8年度は当面現仕様のままとの回答があり、厚労省にて継続検討中。</t>
    <phoneticPr fontId="2"/>
  </si>
  <si>
    <t>166_01</t>
  </si>
  <si>
    <t>ポータルサイトの利用申請機能等の蓋開け</t>
    <phoneticPr fontId="2"/>
  </si>
  <si>
    <r>
      <t>2026/8/10 ACN黒川
(リリース希望時期綺麗化作業)リリース希望時期を「令和9年1月初旬」から「令和8年度1月初旬」に変更。
2026/6/29 基金大野
案件の集約（案件ID181）に合わせて要求事項を追加
2026/5/18 基金大野
S列リリース希望時期を令和9年1月初旬へ変更</t>
    </r>
    <r>
      <rPr>
        <sz val="11"/>
        <color rgb="FF000000"/>
        <rFont val="Meiryo UI"/>
        <family val="3"/>
        <charset val="128"/>
      </rPr>
      <t xml:space="preserve">
2026/1/26 ACN本田
令和8年案件として新規起票。
(リリース時期は未定であり、基金へポータルサイトの改修スケジュールを確認中)</t>
    </r>
    <rPh sb="46" eb="47">
      <t>ガツ</t>
    </rPh>
    <rPh sb="47" eb="49">
      <t>ショジュン</t>
    </rPh>
    <rPh sb="59" eb="60">
      <t>ガツ</t>
    </rPh>
    <rPh sb="60" eb="62">
      <t>ショジュン</t>
    </rPh>
    <phoneticPr fontId="2"/>
  </si>
  <si>
    <t>運用保守改善</t>
  </si>
  <si>
    <t>ACN 本田</t>
  </si>
  <si>
    <t>医療機関等向け総合ポータルサイトの利用申請機能・運用開始日登録機能の蓋開けを行う</t>
  </si>
  <si>
    <t>■背景
令和6年度に医療機関等向け総合ポータルサイトにおいて、電子カルテ情報共有サービスの利用申請および運用開始日登録ができるような機能を開発したが、モデル事業検証期間であったため医療機関向けの機能は蓋締めをしていた。
■目的
医療機関等向け総合ポータルサイトにおいて、電子カルテ情報共有サービスの利用申請および運用開始日登録をできるようにする</t>
    <phoneticPr fontId="2"/>
  </si>
  <si>
    <t>利用申請・運用開始日登録が医療機関等向け総合ポータルサイトで実施できる</t>
  </si>
  <si>
    <t>令和8年度1月初旬</t>
    <rPh sb="0" eb="2">
      <t>レイワ</t>
    </rPh>
    <rPh sb="3" eb="5">
      <t>ネンド</t>
    </rPh>
    <rPh sb="6" eb="7">
      <t>ガツ</t>
    </rPh>
    <rPh sb="7" eb="9">
      <t>ショジュン</t>
    </rPh>
    <phoneticPr fontId="2"/>
  </si>
  <si>
    <t>利用申請・運用開始日登録</t>
  </si>
  <si>
    <t>総合ポータル</t>
  </si>
  <si>
    <r>
      <t>機能：ポータルサイト利用申請機能・運用開始日登録機能
内容：医療機関等向け総合ポータルサイトにおける電子カルテ情報共有サービスの利用申請機能および運用開始日登録機能の蓋開けをする。</t>
    </r>
    <r>
      <rPr>
        <sz val="11"/>
        <color rgb="FFFF0000"/>
        <rFont val="Meiryo UI"/>
        <family val="3"/>
        <charset val="128"/>
      </rPr>
      <t xml:space="preserve">
■要求事項
蓋開けに合わせて、以下3点を改修する。
➀医療機関等向け総合ポータルサイトにおける薬局・歯科の電子カルテ情報共有サービスの運用開始日登録の非活性化（旧案件ID181）
➁電子カルテ情報共有サービス利用申請・運用開始日登録画面閉塞
➂電子カルテ情報共有サービス利用申請・運用開始日データ移行</t>
    </r>
    <phoneticPr fontId="2"/>
  </si>
  <si>
    <t>167</t>
  </si>
  <si>
    <t>167_01</t>
    <phoneticPr fontId="2"/>
  </si>
  <si>
    <t>Narrativeに記載するHTML要素の制御</t>
    <phoneticPr fontId="2"/>
  </si>
  <si>
    <r>
      <rPr>
        <sz val="11"/>
        <color rgb="FFFF0000"/>
        <rFont val="Meiryo UI"/>
        <family val="3"/>
        <charset val="128"/>
      </rPr>
      <t xml:space="preserve">2026/8/10 ACN黒川
(リリース希望時期綺麗化作業)リリース希望時期を「令和8年度秋」から「令和8年度9月」に変更。
</t>
    </r>
    <r>
      <rPr>
        <sz val="11"/>
        <color rgb="FF000000"/>
        <rFont val="Meiryo UI"/>
        <family val="3"/>
        <charset val="128"/>
      </rPr>
      <t xml:space="preserve">
2026/4/27 基金山本
開発課題検討会にて厚労省様へ基金想定の開発要件案（以下）の説明をおこない、合意を得た。
１．技術解説書2.0.0版p.43記載の【使用可能なHTML要素(7種)】のみ許可するアドオンチェックを追加する。
２．アドオンチェックの対象はComposition.section要素配下の各構造情報セクションおよび備考・連絡情報セクションのtext要素とする。
３．アドオン違反時はエラーとする。
2026/1/26 ACN本田
令和８年秋案件として新規起票</t>
    </r>
  </si>
  <si>
    <t>2文書のNarrativeを登録する際に利用が許容されているhtmlタグ（技術解説書で指定）以外が利用されていないかをチェックする</t>
    <rPh sb="37" eb="42">
      <t>ギジュツカイセツショ</t>
    </rPh>
    <rPh sb="43" eb="45">
      <t>シテイ</t>
    </rPh>
    <rPh sb="49" eb="51">
      <t>リヨウ</t>
    </rPh>
    <phoneticPr fontId="2"/>
  </si>
  <si>
    <t>■背景
・令和7年度の検討において、診療情報提供書・退院時サマリーでは、添付情報を除いた文書全体のうち、ヘッダ部および紹介元・紹介先情報セクションに係わる情報は指定されたリソースによる構造化データとし、その他はComposition.section要素は以下の各構造情報セクションおよび備考・連絡情報セクションのtext要素にNarrativeとしてもれなく記述する方針となった。
・Narrativeで仕様できるHTML要素は、どの医療機関も受領できるように基本的なものに限定することとなった。
■目的
Narrativeで仕様できるHTML要素は、どの医療機関も受領できるように基本的なものに限定する</t>
    <phoneticPr fontId="2"/>
  </si>
  <si>
    <t>Narrativeで仕様できるHTML要素に制約がない場合には診療情報提供書をうまく表示できない医療機関(システムベンダ)がいる可能性があるが、そのような懸念がなくなる</t>
    <rPh sb="27" eb="29">
      <t>バアイ</t>
    </rPh>
    <rPh sb="77" eb="79">
      <t>ケネン</t>
    </rPh>
    <phoneticPr fontId="2"/>
  </si>
  <si>
    <t>令和8年度9月</t>
    <phoneticPr fontId="2"/>
  </si>
  <si>
    <t>２文書の登録</t>
    <rPh sb="1" eb="3">
      <t>ブンショ</t>
    </rPh>
    <rPh sb="4" eb="6">
      <t>トウロク</t>
    </rPh>
    <phoneticPr fontId="2"/>
  </si>
  <si>
    <t>機能：アドオンチェック
内容：診療情報提供書および退院時サマリのNarrativeにおいて使用可能なHTML要素以外が含まれている場合はエラーを返却する
※使用可能なHTML要素は技術解説書2.0.0版P43を参照。</t>
    <rPh sb="78" eb="80">
      <t>シヨウ</t>
    </rPh>
    <rPh sb="80" eb="82">
      <t>カノウ</t>
    </rPh>
    <rPh sb="87" eb="89">
      <t>ヨウソ</t>
    </rPh>
    <rPh sb="90" eb="95">
      <t>ギジュツカイセツショ</t>
    </rPh>
    <rPh sb="100" eb="101">
      <t>ハン</t>
    </rPh>
    <rPh sb="105" eb="107">
      <t>サンショウ</t>
    </rPh>
    <phoneticPr fontId="2"/>
  </si>
  <si>
    <t>168</t>
    <phoneticPr fontId="2"/>
  </si>
  <si>
    <t>168_01</t>
    <phoneticPr fontId="2"/>
  </si>
  <si>
    <t>ログ・統計機能の改修(R8.秋)</t>
    <phoneticPr fontId="2"/>
  </si>
  <si>
    <r>
      <rPr>
        <sz val="11"/>
        <color rgb="FFFF0000"/>
        <rFont val="Meiryo UI"/>
        <family val="3"/>
        <charset val="128"/>
      </rPr>
      <t xml:space="preserve">2026/8/10 ACN黒川
(リリース希望時期綺麗化作業)リリース希望時期を「令和8年度秋」から「取り下げ」に変更。
</t>
    </r>
    <r>
      <rPr>
        <sz val="11"/>
        <color theme="1"/>
        <rFont val="Meiryo UI"/>
        <family val="3"/>
        <charset val="128"/>
      </rPr>
      <t xml:space="preserve">
2026/2/2 ACN本田
案件163とマージすることとなったため、取り下げ。
(2026/1/26回月課題検討会にて合意)
2026/1/26 ACN本田
令和８年秋案件として新規起票
※令和7年案件における開発からの差分で検討</t>
    </r>
    <rPh sb="51" eb="52">
      <t>ト</t>
    </rPh>
    <rPh sb="53" eb="54">
      <t>サ</t>
    </rPh>
    <phoneticPr fontId="2"/>
  </si>
  <si>
    <t>令和7年に開発できなかったログ・統計機能の改修(健診文書を除く)を実施する</t>
    <rPh sb="0" eb="2">
      <t>レイワ</t>
    </rPh>
    <rPh sb="3" eb="4">
      <t>ネン</t>
    </rPh>
    <rPh sb="5" eb="7">
      <t>カイハツ</t>
    </rPh>
    <rPh sb="16" eb="18">
      <t>トウケイ</t>
    </rPh>
    <rPh sb="18" eb="20">
      <t>キノウ</t>
    </rPh>
    <rPh sb="21" eb="23">
      <t>カイシュウ</t>
    </rPh>
    <rPh sb="24" eb="26">
      <t>ケンシン</t>
    </rPh>
    <rPh sb="26" eb="28">
      <t>ブンショ</t>
    </rPh>
    <rPh sb="29" eb="30">
      <t>ノゾ</t>
    </rPh>
    <rPh sb="33" eb="35">
      <t>ジッシ</t>
    </rPh>
    <phoneticPr fontId="2"/>
  </si>
  <si>
    <t>■背景
・電子カルテ情報共有サービスは2030年までに全国的に普及させることを目標としている
■目的
・電子カルテ情報共有サービスの普及を推進するために現状を把握する必要がある</t>
    <rPh sb="0" eb="3">
      <t>シカクハイケイ</t>
    </rPh>
    <rPh sb="47" eb="50">
      <t>シカクモクテキ</t>
    </rPh>
    <rPh sb="52" eb="54">
      <t>デンシ</t>
    </rPh>
    <rPh sb="57" eb="61">
      <t>ジョウホウキョウユウ</t>
    </rPh>
    <rPh sb="66" eb="68">
      <t>フキュウ</t>
    </rPh>
    <rPh sb="69" eb="71">
      <t>スイシン</t>
    </rPh>
    <rPh sb="76" eb="78">
      <t>ゲンジョウ</t>
    </rPh>
    <rPh sb="79" eb="81">
      <t>ハアク</t>
    </rPh>
    <rPh sb="83" eb="85">
      <t>ヒツヨウ</t>
    </rPh>
    <phoneticPr fontId="2"/>
  </si>
  <si>
    <t>【取り下げ理由】
案件163とマージすることとなったため。
(2026/1/26回月課題検討会にて合意)</t>
    <rPh sb="1" eb="2">
      <t>ト</t>
    </rPh>
    <rPh sb="3" eb="4">
      <t>サ</t>
    </rPh>
    <rPh sb="5" eb="7">
      <t>リユウ</t>
    </rPh>
    <rPh sb="9" eb="11">
      <t>アンケン</t>
    </rPh>
    <rPh sb="40" eb="41">
      <t>カイ</t>
    </rPh>
    <rPh sb="41" eb="42">
      <t>ガツ</t>
    </rPh>
    <rPh sb="42" eb="44">
      <t>カダイ</t>
    </rPh>
    <rPh sb="44" eb="47">
      <t>ケントウカイ</t>
    </rPh>
    <rPh sb="49" eb="51">
      <t>ゴウイ</t>
    </rPh>
    <phoneticPr fontId="2"/>
  </si>
  <si>
    <t>統計・ログ管理</t>
    <rPh sb="0" eb="2">
      <t>トウケイ</t>
    </rPh>
    <rPh sb="5" eb="7">
      <t>カンリ</t>
    </rPh>
    <phoneticPr fontId="2"/>
  </si>
  <si>
    <t>機能：統計・ログ機能
内容：要件検討中</t>
    <rPh sb="11" eb="13">
      <t>ナイヨウ</t>
    </rPh>
    <rPh sb="14" eb="16">
      <t>ヨウケン</t>
    </rPh>
    <rPh sb="16" eb="19">
      <t>ケントウチュウ</t>
    </rPh>
    <phoneticPr fontId="2"/>
  </si>
  <si>
    <t>169</t>
    <phoneticPr fontId="2"/>
  </si>
  <si>
    <t>169_01</t>
    <phoneticPr fontId="2"/>
  </si>
  <si>
    <t>性能検証</t>
    <rPh sb="0" eb="2">
      <t>セイノウ</t>
    </rPh>
    <rPh sb="2" eb="4">
      <t>ケンショウ</t>
    </rPh>
    <phoneticPr fontId="2"/>
  </si>
  <si>
    <t>性能要件の見直しに係る性能検証</t>
    <rPh sb="11" eb="13">
      <t>セイノウ</t>
    </rPh>
    <phoneticPr fontId="2"/>
  </si>
  <si>
    <t>2026/3/2　ACN木村
3/2開発課題検討会を踏まえ、リリース希望時期を令和8年8月末までに変更
2026/2/27　ACN木村
要件を整理したため、要求事項を追記
2026/1/29 ACN木村
令和8年案件として新規起票</t>
    <rPh sb="12" eb="14">
      <t>キムラ</t>
    </rPh>
    <rPh sb="18" eb="25">
      <t>カイハツカダイケントウカイ</t>
    </rPh>
    <rPh sb="26" eb="27">
      <t>フ</t>
    </rPh>
    <rPh sb="34" eb="38">
      <t>キボウジキ</t>
    </rPh>
    <rPh sb="39" eb="41">
      <t>レイワ</t>
    </rPh>
    <rPh sb="42" eb="43">
      <t>ネン</t>
    </rPh>
    <rPh sb="44" eb="45">
      <t>ツキ</t>
    </rPh>
    <rPh sb="45" eb="46">
      <t>マツ</t>
    </rPh>
    <rPh sb="49" eb="51">
      <t>ヘンコウ</t>
    </rPh>
    <rPh sb="66" eb="68">
      <t>キムラ</t>
    </rPh>
    <rPh sb="69" eb="71">
      <t>ヨウケン</t>
    </rPh>
    <rPh sb="72" eb="74">
      <t>セイリ</t>
    </rPh>
    <rPh sb="79" eb="83">
      <t>ヨウキュウジコウ</t>
    </rPh>
    <rPh sb="84" eb="86">
      <t>ツイキ</t>
    </rPh>
    <rPh sb="101" eb="103">
      <t>キムラ</t>
    </rPh>
    <rPh sb="104" eb="106">
      <t>レイワ</t>
    </rPh>
    <rPh sb="107" eb="108">
      <t>ネン</t>
    </rPh>
    <rPh sb="108" eb="110">
      <t>アンケン</t>
    </rPh>
    <rPh sb="113" eb="115">
      <t>シンキ</t>
    </rPh>
    <rPh sb="115" eb="117">
      <t>キヒョウ</t>
    </rPh>
    <phoneticPr fontId="2"/>
  </si>
  <si>
    <t>性能検証</t>
    <rPh sb="0" eb="4">
      <t>セイノウケンショウ</t>
    </rPh>
    <phoneticPr fontId="2"/>
  </si>
  <si>
    <t>ACN 木村</t>
    <rPh sb="4" eb="6">
      <t>キムラ</t>
    </rPh>
    <phoneticPr fontId="2"/>
  </si>
  <si>
    <t>性能要件の見直しに係る実地検証</t>
    <phoneticPr fontId="2"/>
  </si>
  <si>
    <t>■背景
・中央基盤の性能要件については、調達仕様書のとおり、医療機関等からのデータ登録はリアルタイム連携による業務量を前提としている。
・一方、調達後の検討において、医療機関等におけるリアルタイム連携は運用上困難であることが判明したことから、夜間バッチ処理等による「一斉登録」を許容する旨が技術解説書において示された。
■目的
・令和8年度に中央基盤の性能が医療機関等からの「一斉登録」に耐えられるかの実地検証を行う。</t>
    <rPh sb="1" eb="3">
      <t>ハイケイ</t>
    </rPh>
    <rPh sb="161" eb="163">
      <t>モクテキ</t>
    </rPh>
    <phoneticPr fontId="2"/>
  </si>
  <si>
    <t>～令和8年8月末
性能検証の結果によっては令和9年度に性能改善施策を実施する必要がある。そのため、令和9年度予算要求スケジュールから逆算し、性能改善施策の提案および見積書のご提示を、令和8年8月末までに実施いただきたい。</t>
    <rPh sb="6" eb="7">
      <t>ツキ</t>
    </rPh>
    <rPh sb="7" eb="8">
      <t>マツ</t>
    </rPh>
    <rPh sb="10" eb="14">
      <t>セイノウケンショウ</t>
    </rPh>
    <rPh sb="15" eb="16">
      <t>ケツ</t>
    </rPh>
    <rPh sb="16" eb="17">
      <t>ワ</t>
    </rPh>
    <rPh sb="22" eb="24">
      <t>レイワ</t>
    </rPh>
    <rPh sb="24" eb="26">
      <t>ネンド</t>
    </rPh>
    <rPh sb="27" eb="31">
      <t>セイノウカイゼン</t>
    </rPh>
    <rPh sb="33" eb="35">
      <t>ジッシ</t>
    </rPh>
    <rPh sb="37" eb="39">
      <t>ヒツヨウ</t>
    </rPh>
    <rPh sb="49" eb="51">
      <t>レイワ</t>
    </rPh>
    <rPh sb="51" eb="53">
      <t>ネンド</t>
    </rPh>
    <rPh sb="54" eb="56">
      <t>ヨサン</t>
    </rPh>
    <rPh sb="55" eb="56">
      <t>ト</t>
    </rPh>
    <rPh sb="57" eb="59">
      <t>ヨウキュウ</t>
    </rPh>
    <rPh sb="65" eb="67">
      <t>ギャクサン</t>
    </rPh>
    <rPh sb="69" eb="71">
      <t>セイノウ</t>
    </rPh>
    <rPh sb="75" eb="77">
      <t>シサク</t>
    </rPh>
    <rPh sb="83" eb="84">
      <t>ショ</t>
    </rPh>
    <rPh sb="85" eb="87">
      <t>テイジ</t>
    </rPh>
    <rPh sb="89" eb="91">
      <t>レイワ</t>
    </rPh>
    <rPh sb="93" eb="94">
      <t>ネン</t>
    </rPh>
    <rPh sb="95" eb="96">
      <t>ツキ</t>
    </rPh>
    <rPh sb="98" eb="99">
      <t>マツ</t>
    </rPh>
    <rPh sb="100" eb="102">
      <t>ジッシ</t>
    </rPh>
    <phoneticPr fontId="2"/>
  </si>
  <si>
    <r>
      <rPr>
        <sz val="11"/>
        <color rgb="FF000000"/>
        <rFont val="Meiryo UI"/>
        <family val="3"/>
        <charset val="128"/>
      </rPr>
      <t xml:space="preserve">■要求事項
</t>
    </r>
    <r>
      <rPr>
        <b/>
        <sz val="11"/>
        <color rgb="FF000000"/>
        <rFont val="Meiryo UI"/>
        <family val="3"/>
        <charset val="128"/>
      </rPr>
      <t>実施内容</t>
    </r>
    <r>
      <rPr>
        <sz val="11"/>
        <color rgb="FF000000"/>
        <rFont val="Meiryo UI"/>
        <family val="3"/>
        <charset val="128"/>
      </rPr>
      <t xml:space="preserve">：全機能ピーク負荷試験
</t>
    </r>
    <r>
      <rPr>
        <b/>
        <sz val="11"/>
        <color rgb="FF000000"/>
        <rFont val="Meiryo UI"/>
        <family val="3"/>
        <charset val="128"/>
      </rPr>
      <t>スコープ（案）</t>
    </r>
    <r>
      <rPr>
        <sz val="11"/>
        <color rgb="FF000000"/>
        <rFont val="Meiryo UI"/>
        <family val="3"/>
        <charset val="128"/>
      </rPr>
      <t xml:space="preserve">：電カル共有サービス、オンライン資格確認（電カル共有）
　　　※マイナポータル、顔CR、マイナ在宅受付Web、資格確認アプリ、オン資端末、保険者システムは対象外とする
</t>
    </r>
    <r>
      <rPr>
        <b/>
        <sz val="11"/>
        <color rgb="FF000000"/>
        <rFont val="Meiryo UI"/>
        <family val="3"/>
        <charset val="128"/>
      </rPr>
      <t>環境（案）</t>
    </r>
    <r>
      <rPr>
        <sz val="11"/>
        <color rgb="FF000000"/>
        <rFont val="Meiryo UI"/>
        <family val="3"/>
        <charset val="128"/>
      </rPr>
      <t xml:space="preserve">：接検環境が本番環境と同等のシステム構成であれば接検環境を想定
</t>
    </r>
    <r>
      <rPr>
        <b/>
        <sz val="11"/>
        <color rgb="FF000000"/>
        <rFont val="Meiryo UI"/>
        <family val="3"/>
        <charset val="128"/>
      </rPr>
      <t>実施時間帯（案）</t>
    </r>
    <r>
      <rPr>
        <sz val="11"/>
        <color rgb="FF000000"/>
        <rFont val="Meiryo UI"/>
        <family val="3"/>
        <charset val="128"/>
      </rPr>
      <t xml:space="preserve">：接検環境の場合は水曜18時以降 または 土日を想定
</t>
    </r>
    <r>
      <rPr>
        <b/>
        <sz val="11"/>
        <color rgb="FF000000"/>
        <rFont val="Meiryo UI"/>
        <family val="3"/>
        <charset val="128"/>
      </rPr>
      <t>検証内容（案）</t>
    </r>
    <r>
      <rPr>
        <sz val="11"/>
        <color rgb="FF000000"/>
        <rFont val="Meiryo UI"/>
        <family val="3"/>
        <charset val="128"/>
      </rPr>
      <t xml:space="preserve">：
</t>
    </r>
    <r>
      <rPr>
        <b/>
        <sz val="11"/>
        <color rgb="FF000000"/>
        <rFont val="Meiryo UI"/>
        <family val="3"/>
        <charset val="128"/>
      </rPr>
      <t>・パターン①『リアルタイム前提』での性能検証調</t>
    </r>
    <r>
      <rPr>
        <sz val="11"/>
        <color rgb="FF000000"/>
        <rFont val="Meiryo UI"/>
        <family val="3"/>
        <charset val="128"/>
      </rPr>
      <t>達仕様書では性能要件が4機能のみ定義されていたが、全機能について性能要件を再試算したため、改めて性能検証を実施する。
・</t>
    </r>
    <r>
      <rPr>
        <b/>
        <sz val="11"/>
        <color rgb="FF000000"/>
        <rFont val="Meiryo UI"/>
        <family val="3"/>
        <charset val="128"/>
      </rPr>
      <t>パターン②『文書・臨床・健診・患者サマリの登録・変更・取消機能はバッチ前提』での性能検証全機</t>
    </r>
    <r>
      <rPr>
        <sz val="11"/>
        <color rgb="FF000000"/>
        <rFont val="Meiryo UI"/>
        <family val="3"/>
        <charset val="128"/>
      </rPr>
      <t>能の性能要件を再試算した結果、リアルタイム前提よりバッチ前提の方がシステム負荷が高くなると見込まれるため、当該機能はバッチ前提として性能を検証する。
・追</t>
    </r>
    <r>
      <rPr>
        <b/>
        <sz val="11"/>
        <color rgb="FF000000"/>
        <rFont val="Meiryo UI"/>
        <family val="3"/>
        <charset val="128"/>
      </rPr>
      <t>加検証：一斉登録(最大負荷シナリオ)の性能検証パター</t>
    </r>
    <r>
      <rPr>
        <sz val="11"/>
        <color rgb="FF000000"/>
        <rFont val="Meiryo UI"/>
        <family val="3"/>
        <charset val="128"/>
      </rPr>
      <t>ン②では、医療機関からのリクエストが1時間に分散して到来する前提としたが、バッチの特性上、リクエストが一斉に集中する可能性がある。そこで、現行スペックにおいて一斉登録が発生した場合に処理可能な業務量を検証する。
開発事</t>
    </r>
    <r>
      <rPr>
        <b/>
        <sz val="11"/>
        <color rgb="FF000000"/>
        <rFont val="Meiryo UI"/>
        <family val="3"/>
        <charset val="128"/>
      </rPr>
      <t>業者への依頼事項：
・</t>
    </r>
    <r>
      <rPr>
        <sz val="11"/>
        <color rgb="FF000000"/>
        <rFont val="Meiryo UI"/>
        <family val="3"/>
        <charset val="128"/>
      </rPr>
      <t>検証内容の検討
・検証スケジュールの検討
・検証方法の検討
・性能検証の実施
・検証結果の報告書作成・報告
・AWS運用コストの算出
・性能改善施策の提案、性能改善施策を実行するための対応工数・効果・リスク
※運用側から電カル共有からオン資へのアクセス数が他サービスと比較して多い状況であることの報告を受けているので、電カル共有の利用が拡大した際に、オン資がその負荷に耐えられるか懸念があるため、その観点も確認観点に含めること。</t>
    </r>
  </si>
  <si>
    <t>170</t>
    <phoneticPr fontId="2"/>
  </si>
  <si>
    <t>170_01</t>
  </si>
  <si>
    <t xml:space="preserve">バリデーションチェック検証ツールのソースコード公開 </t>
    <phoneticPr fontId="2"/>
  </si>
  <si>
    <r>
      <rPr>
        <sz val="11"/>
        <color rgb="FFFF0000"/>
        <rFont val="Meiryo UI"/>
        <family val="3"/>
        <charset val="128"/>
      </rPr>
      <t xml:space="preserve">2026/8/10 ACN黒川
(リリース希望時期綺麗化作業)リリース希望時期を「令和8年10月」から「令和8年度9月」に変更。
</t>
    </r>
    <r>
      <rPr>
        <sz val="11"/>
        <color theme="1"/>
        <rFont val="Meiryo UI"/>
        <family val="3"/>
      </rPr>
      <t xml:space="preserve">
2016/2/19 基金細沼
令和8年案件として新規起票</t>
    </r>
    <rPh sb="47" eb="48">
      <t>ガツ</t>
    </rPh>
    <phoneticPr fontId="2"/>
  </si>
  <si>
    <t xml:space="preserve">バリデーションチェックのソースコード公開 </t>
    <phoneticPr fontId="2"/>
  </si>
  <si>
    <t>■起票背景
バリデーションチェック検証ツールのソースコードの公開を行うことで、医療機関等システムベンダ側が基金提供のバリデーションチェック検証ツールにさらなるアレンジを加えて、自社環境で開発に利用することができるということからR7年度に実施した、バリデーションチェック検証ツールのソースコード公開（R7年度案件ID069）を、R8年度の仕様に改修したバリデーションチェック検証ツールに対しても行う必要がある。
■目的
医療機関等システムベンダ側が基金提供のバリデーションチェック検証ツールの内容を把握した上で、さらなるアレンジを加えて、自社独自のバリデーションチェックツールの開発ができるようにすること。</t>
  </si>
  <si>
    <t>MUST</t>
  </si>
  <si>
    <t>・基金提供のバリデーションチェック検証ツールのソースコードをGitHub等に公開する。
・電子カルテ情報共有サービスにおけるGithub利用は、プライベートリポジトリにソースコードを限定公開する。
・公開後、医療機関等ベンダ（Github利用者）からのIssueの提示や、 バリデータの改修があった場合は、新バージョンをプロファイルの更新の都度公開する。</t>
  </si>
  <si>
    <t>171</t>
    <phoneticPr fontId="2"/>
  </si>
  <si>
    <t>171-01</t>
    <phoneticPr fontId="2"/>
  </si>
  <si>
    <t>中央基盤の文字生成による黒丸が発生する現象の改善</t>
    <phoneticPr fontId="2"/>
  </si>
  <si>
    <r>
      <rPr>
        <sz val="11"/>
        <color rgb="FFFF0000"/>
        <rFont val="Meiryo UI"/>
        <family val="3"/>
        <charset val="128"/>
      </rPr>
      <t xml:space="preserve">2026/8/10 ACN黒川
(リリース希望時期綺麗化作業)リリース希望時期を「令和8年10月」から「令和8年度9月」に変更。
</t>
    </r>
    <r>
      <rPr>
        <sz val="11"/>
        <color theme="1"/>
        <rFont val="Meiryo UI"/>
        <family val="3"/>
        <charset val="128"/>
      </rPr>
      <t xml:space="preserve">
2016/2/19 基金松尾
令和8年度案件として新規起票</t>
    </r>
    <rPh sb="78" eb="80">
      <t>マツオ</t>
    </rPh>
    <rPh sb="85" eb="86">
      <t>ド</t>
    </rPh>
    <phoneticPr fontId="2"/>
  </si>
  <si>
    <t>機能改善</t>
    <rPh sb="0" eb="4">
      <t>キノウカイゼン</t>
    </rPh>
    <phoneticPr fontId="2"/>
  </si>
  <si>
    <t>基金松尾</t>
    <rPh sb="0" eb="4">
      <t>キキンマツオ</t>
    </rPh>
    <phoneticPr fontId="2"/>
  </si>
  <si>
    <t>中央基盤の文字生成による黒丸が発生する現象の改善を行う。</t>
    <rPh sb="25" eb="26">
      <t>オコナ</t>
    </rPh>
    <phoneticPr fontId="2"/>
  </si>
  <si>
    <t>■起票背景
臨床情報や健診文書において、医療機関向けXMLで●に変換されてしまう文字列が中央基盤で生成されている場合、その文字列が●になってしまう。
■目的
●にならないように文字生成のロジックを修正する。</t>
    <rPh sb="1" eb="5">
      <t>キヒョウハイケイ</t>
    </rPh>
    <rPh sb="76" eb="79">
      <t>シカクモクテキ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</si>
  <si>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臨床情報や健診文書において、医療機関向けXMLで●に変換されてしまう文字列が中央基盤で生成されている場合、その文字列が●にならないように文字生成のロジックを修正すること。_x000B_（例：検査情報の基準値「下限値＋下限値単位＋“～”＋上限値＋上限値単位」に含まれる“～”）
補足：
・本件は「中央基盤で生成される文字列」が対象となる。_x000B_・つまり、医療機関がFHIRで登録する文字列は対象外とする。</t>
    <phoneticPr fontId="2"/>
  </si>
  <si>
    <t>172</t>
    <phoneticPr fontId="2"/>
  </si>
  <si>
    <t>172-01</t>
    <phoneticPr fontId="2"/>
  </si>
  <si>
    <t>傷病名</t>
    <rPh sb="0" eb="2">
      <t>ショウビョウ</t>
    </rPh>
    <rPh sb="2" eb="3">
      <t>メイ</t>
    </rPh>
    <phoneticPr fontId="2"/>
  </si>
  <si>
    <t>傷病名の転帰区分の追加</t>
    <rPh sb="0" eb="2">
      <t>ショウビョウ</t>
    </rPh>
    <rPh sb="2" eb="3">
      <t>メイ</t>
    </rPh>
    <rPh sb="4" eb="6">
      <t>テンキ</t>
    </rPh>
    <rPh sb="6" eb="8">
      <t>クブン</t>
    </rPh>
    <rPh sb="9" eb="11">
      <t>ツイカ</t>
    </rPh>
    <phoneticPr fontId="2"/>
  </si>
  <si>
    <r>
      <rPr>
        <sz val="11"/>
        <color rgb="FFFF0000"/>
        <rFont val="Meiryo UI"/>
        <family val="3"/>
        <charset val="128"/>
      </rPr>
      <t xml:space="preserve">2026/10/1 ACN本田
・厚労省での検討の結果、本案件は取り下げとする。
</t>
    </r>
    <r>
      <rPr>
        <sz val="11"/>
        <color theme="1"/>
        <rFont val="Meiryo UI"/>
        <family val="3"/>
        <charset val="128"/>
      </rPr>
      <t xml:space="preserve">
2026/2/23 ACN本田
令和9年度案件として新規起票</t>
    </r>
    <rPh sb="13" eb="15">
      <t>ホンダ</t>
    </rPh>
    <rPh sb="17" eb="20">
      <t>コウロウショウ</t>
    </rPh>
    <rPh sb="22" eb="24">
      <t>ケントウ</t>
    </rPh>
    <rPh sb="25" eb="27">
      <t>ケッカ</t>
    </rPh>
    <rPh sb="28" eb="29">
      <t>ホン</t>
    </rPh>
    <rPh sb="29" eb="31">
      <t>アンケン</t>
    </rPh>
    <rPh sb="32" eb="33">
      <t>ト</t>
    </rPh>
    <rPh sb="34" eb="35">
      <t>サ</t>
    </rPh>
    <rPh sb="55" eb="57">
      <t>ホンダ</t>
    </rPh>
    <rPh sb="58" eb="60">
      <t>レイワ</t>
    </rPh>
    <rPh sb="61" eb="63">
      <t>ネンド</t>
    </rPh>
    <rPh sb="63" eb="65">
      <t>アンケン</t>
    </rPh>
    <rPh sb="68" eb="70">
      <t>シンキ</t>
    </rPh>
    <rPh sb="70" eb="72">
      <t>キヒョウ</t>
    </rPh>
    <phoneticPr fontId="2"/>
  </si>
  <si>
    <t>傷病名の転帰区分を追加する</t>
    <rPh sb="0" eb="2">
      <t>ショウビョウ</t>
    </rPh>
    <rPh sb="2" eb="3">
      <t>メイ</t>
    </rPh>
    <rPh sb="4" eb="6">
      <t>テンキ</t>
    </rPh>
    <rPh sb="6" eb="8">
      <t>クブン</t>
    </rPh>
    <rPh sb="9" eb="11">
      <t>ツイカ</t>
    </rPh>
    <phoneticPr fontId="2"/>
  </si>
  <si>
    <t>■起票背景
傷病名におけるClinicalStatus(＝転帰区分)が、現在「存続」「軽快または治癒」「寛解」「不明」であり、「存続」「軽快または治癒」「寛解」以外の項目は「不明」とする整理になっている
■目的
一般的な電子カルテにて選択できる傷病名の転帰区分の項目を新規に追加する</t>
    <rPh sb="1" eb="3">
      <t>キヒョウ</t>
    </rPh>
    <rPh sb="3" eb="5">
      <t>ハイケイ</t>
    </rPh>
    <rPh sb="6" eb="8">
      <t>ショウビョウ</t>
    </rPh>
    <rPh sb="8" eb="9">
      <t>メイ</t>
    </rPh>
    <rPh sb="29" eb="33">
      <t>テンキクブン</t>
    </rPh>
    <rPh sb="36" eb="38">
      <t>ゲンザイ</t>
    </rPh>
    <rPh sb="39" eb="41">
      <t>ソンゾク</t>
    </rPh>
    <rPh sb="43" eb="45">
      <t>ケイカイ</t>
    </rPh>
    <rPh sb="48" eb="50">
      <t>チユ</t>
    </rPh>
    <rPh sb="52" eb="54">
      <t>カンカイ</t>
    </rPh>
    <rPh sb="56" eb="58">
      <t>フメイ</t>
    </rPh>
    <rPh sb="80" eb="82">
      <t>イガイ</t>
    </rPh>
    <rPh sb="83" eb="85">
      <t>コウモク</t>
    </rPh>
    <rPh sb="87" eb="89">
      <t>フメイ</t>
    </rPh>
    <rPh sb="93" eb="95">
      <t>セイリ</t>
    </rPh>
    <rPh sb="104" eb="106">
      <t>モクテキ</t>
    </rPh>
    <rPh sb="107" eb="110">
      <t>イッパンテキ</t>
    </rPh>
    <rPh sb="111" eb="113">
      <t>デンシ</t>
    </rPh>
    <rPh sb="118" eb="120">
      <t>センタク</t>
    </rPh>
    <rPh sb="123" eb="125">
      <t>ショウビョウ</t>
    </rPh>
    <rPh sb="125" eb="126">
      <t>メイ</t>
    </rPh>
    <rPh sb="127" eb="129">
      <t>テンキ</t>
    </rPh>
    <rPh sb="129" eb="131">
      <t>クブン</t>
    </rPh>
    <rPh sb="132" eb="134">
      <t>コウモク</t>
    </rPh>
    <rPh sb="135" eb="137">
      <t>シンキ</t>
    </rPh>
    <rPh sb="138" eb="140">
      <t>ツイカ</t>
    </rPh>
    <phoneticPr fontId="2"/>
  </si>
  <si>
    <t>一般的な電子カルテにて選択できる転帰区分の情報を「不明」にまとめずに、情報連携ができる</t>
    <rPh sb="0" eb="3">
      <t>イッパンテキ</t>
    </rPh>
    <rPh sb="4" eb="6">
      <t>デンシ</t>
    </rPh>
    <rPh sb="11" eb="13">
      <t>センタク</t>
    </rPh>
    <rPh sb="16" eb="18">
      <t>テンキ</t>
    </rPh>
    <rPh sb="18" eb="20">
      <t>クブン</t>
    </rPh>
    <rPh sb="21" eb="23">
      <t>ジョウホウ</t>
    </rPh>
    <rPh sb="25" eb="27">
      <t>フメイ</t>
    </rPh>
    <rPh sb="35" eb="37">
      <t>ジョウホウ</t>
    </rPh>
    <rPh sb="37" eb="39">
      <t>レンケイ</t>
    </rPh>
    <phoneticPr fontId="2"/>
  </si>
  <si>
    <t>■取り下げ理由
全国的な運用開始後に転帰区分が追加となるとどの断面で登録したかにより転帰区分の解釈を変える必要があるため</t>
    <rPh sb="1" eb="2">
      <t>ト</t>
    </rPh>
    <rPh sb="3" eb="4">
      <t>サ</t>
    </rPh>
    <rPh sb="5" eb="7">
      <t>リユウ</t>
    </rPh>
    <rPh sb="8" eb="11">
      <t>ゼンコクテキ</t>
    </rPh>
    <rPh sb="12" eb="14">
      <t>ウンヨウ</t>
    </rPh>
    <rPh sb="14" eb="16">
      <t>カイシ</t>
    </rPh>
    <rPh sb="16" eb="17">
      <t>ゴ</t>
    </rPh>
    <rPh sb="18" eb="22">
      <t>テンキクブン</t>
    </rPh>
    <rPh sb="23" eb="25">
      <t>ツイカ</t>
    </rPh>
    <rPh sb="31" eb="33">
      <t>ダンメン</t>
    </rPh>
    <rPh sb="34" eb="36">
      <t>トウロク</t>
    </rPh>
    <rPh sb="42" eb="46">
      <t>テンキクブン</t>
    </rPh>
    <rPh sb="47" eb="49">
      <t>カイシャク</t>
    </rPh>
    <rPh sb="50" eb="51">
      <t>カ</t>
    </rPh>
    <rPh sb="53" eb="55">
      <t>ヒツヨウ</t>
    </rPh>
    <phoneticPr fontId="2"/>
  </si>
  <si>
    <t>173</t>
    <phoneticPr fontId="2"/>
  </si>
  <si>
    <t>173-01</t>
    <phoneticPr fontId="2"/>
  </si>
  <si>
    <t>PHR事業者向けAPIの提供項目の変更</t>
    <phoneticPr fontId="2"/>
  </si>
  <si>
    <r>
      <rPr>
        <sz val="11"/>
        <color rgb="FFFF0000"/>
        <rFont val="Meiryo UI"/>
        <family val="3"/>
        <charset val="128"/>
      </rPr>
      <t xml:space="preserve">2026/8/10 ACN黒川
(リリース希望時期綺麗化作業)リリース希望時期を「令和8年度秋」から「令和8年度12月」に変更。
</t>
    </r>
    <r>
      <rPr>
        <sz val="11"/>
        <color rgb="FF000000"/>
        <rFont val="Meiryo UI"/>
        <family val="3"/>
        <charset val="128"/>
      </rPr>
      <t xml:space="preserve">
2026/2/23 ACN本田
令和8年度案件として起票</t>
    </r>
  </si>
  <si>
    <t>マイナポータルへ連携する PHR事業者向けXMLレイアウトの出力を変更する</t>
    <rPh sb="33" eb="35">
      <t>ヘンコウ</t>
    </rPh>
    <phoneticPr fontId="2"/>
  </si>
  <si>
    <t xml:space="preserve">■起票背景
・デジタル庁より、現在PHR事業者へ公開しているレセプト情報の薬剤情報等のAPIで取得できる資格情報と電カル共有のAPIの資格情報との差分があって問題ないかと問い合わせを受領した
・現在公開している医療情報のPHR向けAPIで取得できる情報との差分という観点で確認した結果、それぞれの情報に含まれる資格情報のうち以下の項目は現行PHR事業者へ公開しているレセプト情報の資格情報と差分があることが分かった
・なお、詳細な資格情報を利用したいPHR事業者向けAPIは、「医療保険情報取得API」ではなく「自己情報取得API」にて利用可能
■目的
・「医療保険情報取得API」での「資格情報」は既存で提供している「資格情報」に統一する
</t>
  </si>
  <si>
    <t>PHR事業者向けAPI</t>
    <rPh sb="3" eb="7">
      <t>ジギョウシャム</t>
    </rPh>
    <phoneticPr fontId="2"/>
  </si>
  <si>
    <t>機能：マイナポータルへ連携する PHR事業者向けXMLレイアウトの出力
内容：マイナポータルへ連携 PHR事業者向けXMLレイアウトより、以下の項目を削除する
・氏名カナ（その他）
・氏名（その他）
・被保険者証等記号
・被保険者証等番号
・枝番</t>
    <phoneticPr fontId="2"/>
  </si>
  <si>
    <t>174</t>
    <phoneticPr fontId="2"/>
  </si>
  <si>
    <t>174-01</t>
    <phoneticPr fontId="2"/>
  </si>
  <si>
    <t>患者サマリーにおける院内処方の取り扱い</t>
    <phoneticPr fontId="2"/>
  </si>
  <si>
    <r>
      <rPr>
        <sz val="11"/>
        <color rgb="FFFF0000"/>
        <rFont val="Meiryo UI"/>
        <family val="3"/>
        <charset val="128"/>
      </rPr>
      <t xml:space="preserve">2026/8/10 ACN黒川
(リリース希望時期綺麗化作業)リリース希望時期を「令和8年度秋」から「令和8年度3月」に変更。
</t>
    </r>
    <r>
      <rPr>
        <sz val="11"/>
        <color theme="1"/>
        <rFont val="Meiryo UI"/>
        <family val="3"/>
        <charset val="128"/>
      </rPr>
      <t xml:space="preserve">
2026/7/14 ACN本田
厚労省スレッドにおける基金とのやり取りを踏まえ、赤字部分を削除
2026/6/19 ACN本田
・TODO1044に記載のとおり、患者サマリーはPHR事業者向けにもAPIを開放しているため、要求事項を青字で修正。
・また、厚労省スレッドでのやり取り踏まえ、要件を追記
2026/2/24 ACN本田
令和8年度案件として起票</t>
    </r>
    <rPh sb="57" eb="58">
      <t>ガツ</t>
    </rPh>
    <rPh sb="78" eb="80">
      <t>ホンダ</t>
    </rPh>
    <rPh sb="81" eb="84">
      <t>コウロウショウ</t>
    </rPh>
    <rPh sb="92" eb="94">
      <t>キキン</t>
    </rPh>
    <rPh sb="98" eb="99">
      <t>ト</t>
    </rPh>
    <rPh sb="101" eb="102">
      <t>フ</t>
    </rPh>
    <rPh sb="105" eb="107">
      <t>アカジ</t>
    </rPh>
    <rPh sb="107" eb="109">
      <t>ブブン</t>
    </rPh>
    <rPh sb="110" eb="112">
      <t>サクジョ</t>
    </rPh>
    <rPh sb="127" eb="129">
      <t>ホンダ</t>
    </rPh>
    <rPh sb="140" eb="142">
      <t>キサイ</t>
    </rPh>
    <rPh sb="147" eb="149">
      <t>カンジャ</t>
    </rPh>
    <rPh sb="157" eb="160">
      <t>ジギョウシャ</t>
    </rPh>
    <rPh sb="160" eb="161">
      <t>ム</t>
    </rPh>
    <rPh sb="168" eb="170">
      <t>カイホウ</t>
    </rPh>
    <rPh sb="177" eb="179">
      <t>ヨウキュウ</t>
    </rPh>
    <rPh sb="179" eb="181">
      <t>ジコウ</t>
    </rPh>
    <rPh sb="182" eb="184">
      <t>アオジ</t>
    </rPh>
    <rPh sb="185" eb="187">
      <t>シュウセイ</t>
    </rPh>
    <rPh sb="206" eb="208">
      <t>レイワ</t>
    </rPh>
    <rPh sb="209" eb="211">
      <t>ネンド</t>
    </rPh>
    <rPh sb="211" eb="213">
      <t>アンケン</t>
    </rPh>
    <rPh sb="216" eb="218">
      <t>キヒョウ</t>
    </rPh>
    <phoneticPr fontId="2"/>
  </si>
  <si>
    <t>患者サマリーにて閲覧できる処方情報に院内処方も追加する</t>
    <rPh sb="0" eb="2">
      <t>カンジャ</t>
    </rPh>
    <rPh sb="8" eb="10">
      <t>エツラン</t>
    </rPh>
    <rPh sb="13" eb="15">
      <t>ショホウ</t>
    </rPh>
    <rPh sb="15" eb="17">
      <t>ジョウホウ</t>
    </rPh>
    <rPh sb="18" eb="20">
      <t>インナイ</t>
    </rPh>
    <rPh sb="20" eb="22">
      <t>ショホウ</t>
    </rPh>
    <rPh sb="23" eb="25">
      <t>ツイカ</t>
    </rPh>
    <phoneticPr fontId="2"/>
  </si>
  <si>
    <t>■起票背景
・患者サマリーでは、電子処方箋管理サービスで登録された処方情報を閲覧する整理となっている
・現在、患者サマリーで閲覧できる情報が院外処方のみに制限された仕様となっている
■目的
・患者サマリーにて、院内処方の情報も閲覧できるようにする</t>
    <rPh sb="1" eb="5">
      <t>キヒョウハイケイ</t>
    </rPh>
    <rPh sb="7" eb="9">
      <t>カンジャ</t>
    </rPh>
    <rPh sb="16" eb="23">
      <t>デンシショホウセンカンリ</t>
    </rPh>
    <rPh sb="28" eb="30">
      <t>トウロク</t>
    </rPh>
    <rPh sb="33" eb="35">
      <t>ショホウ</t>
    </rPh>
    <rPh sb="35" eb="37">
      <t>ジョウホウ</t>
    </rPh>
    <rPh sb="38" eb="40">
      <t>エツラン</t>
    </rPh>
    <rPh sb="42" eb="44">
      <t>セイリ</t>
    </rPh>
    <rPh sb="52" eb="54">
      <t>ゲンザイ</t>
    </rPh>
    <rPh sb="55" eb="57">
      <t>カンジャ</t>
    </rPh>
    <rPh sb="62" eb="64">
      <t>エツラン</t>
    </rPh>
    <rPh sb="67" eb="69">
      <t>ジョウホウ</t>
    </rPh>
    <rPh sb="70" eb="72">
      <t>インガイ</t>
    </rPh>
    <rPh sb="72" eb="74">
      <t>ショホウ</t>
    </rPh>
    <rPh sb="77" eb="79">
      <t>セイゲン</t>
    </rPh>
    <rPh sb="82" eb="84">
      <t>シヨウ</t>
    </rPh>
    <rPh sb="92" eb="95">
      <t>シカクモクテキ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rPh sb="97" eb="99">
      <t>カンジャ</t>
    </rPh>
    <rPh sb="106" eb="108">
      <t>インナイ</t>
    </rPh>
    <rPh sb="108" eb="110">
      <t>ショホウ</t>
    </rPh>
    <rPh sb="111" eb="113">
      <t>ジョウホウ</t>
    </rPh>
    <rPh sb="114" eb="116">
      <t>エツラン</t>
    </rPh>
    <phoneticPr fontId="2"/>
  </si>
  <si>
    <t>患者サマリーにて、患者が院内処方の処方情報も閲覧できるようになる</t>
    <rPh sb="9" eb="11">
      <t>カンジャ</t>
    </rPh>
    <rPh sb="17" eb="19">
      <t>ショホウ</t>
    </rPh>
    <phoneticPr fontId="2"/>
  </si>
  <si>
    <t>　なし</t>
    <phoneticPr fontId="2"/>
  </si>
  <si>
    <t>患者サマリー閲覧機能</t>
    <rPh sb="0" eb="2">
      <t>カンジャ</t>
    </rPh>
    <rPh sb="6" eb="8">
      <t>エツラン</t>
    </rPh>
    <rPh sb="8" eb="10">
      <t>キノウ</t>
    </rPh>
    <phoneticPr fontId="2"/>
  </si>
  <si>
    <r>
      <t>機能：患者サマリー閲覧機能
内容：
・患者サマリーにて表示される処方情報(マイナポ表示・PDF表示・</t>
    </r>
    <r>
      <rPr>
        <sz val="11"/>
        <color rgb="FF0000FF"/>
        <rFont val="Meiryo UI"/>
        <family val="3"/>
        <charset val="128"/>
      </rPr>
      <t>PHR事業者向けXML</t>
    </r>
    <r>
      <rPr>
        <sz val="11"/>
        <color theme="1"/>
        <rFont val="Meiryo UI"/>
        <family val="3"/>
        <charset val="128"/>
      </rPr>
      <t xml:space="preserve">)について、電子カルテ情報共有サービスの院内処方も院外処方も表示する。
</t>
    </r>
    <r>
      <rPr>
        <sz val="11"/>
        <color rgb="FF0000FF"/>
        <rFont val="Meiryo UI"/>
        <family val="3"/>
        <charset val="128"/>
      </rPr>
      <t xml:space="preserve">・処方情報の抽出条件：院内処方区分のうち「1:外来院内処方(院内で投薬投与)」「2:退院時院内処方(院内で投薬投与)」「3:外来院内処方(患者が持ち帰る場合)」「4:退院時院内処方(患者が持ち帰る場合)」の4コード＋院外処方
</t>
    </r>
    <r>
      <rPr>
        <strike/>
        <sz val="11"/>
        <color rgb="FFFF0000"/>
        <rFont val="Meiryo UI"/>
        <family val="3"/>
        <charset val="128"/>
      </rPr>
      <t xml:space="preserve"> ※院内処方の区分が2桁であることから今後も細分化や定義変更が生じる可能性があること、また、厚労科研による患者サマリーの利用方針の検討によっても表示したい項目が変更となる可能性があることを踏まえ、本サービスでの実装においては、院内区分の変更を支払基金・運用保守事業者の運用業務の中で対応できる範囲で改修
</t>
    </r>
    <r>
      <rPr>
        <sz val="11"/>
        <color rgb="FF0000FF"/>
        <rFont val="Meiryo UI"/>
        <family val="3"/>
        <charset val="128"/>
      </rPr>
      <t xml:space="preserve">
・表示の際の留意事項：
　▸院内処方の投与手法（方法）は表示しないため、院内処方等情報で登録時に注射レコードを記録した場合は「ー」を設定する。</t>
    </r>
    <rPh sb="3" eb="5">
      <t>カンジャ</t>
    </rPh>
    <rPh sb="9" eb="11">
      <t>エツラン</t>
    </rPh>
    <rPh sb="11" eb="13">
      <t>キノウ</t>
    </rPh>
    <rPh sb="14" eb="16">
      <t>ナイヨウ</t>
    </rPh>
    <rPh sb="19" eb="21">
      <t>カンジャ</t>
    </rPh>
    <rPh sb="27" eb="29">
      <t>ヒョウジ</t>
    </rPh>
    <rPh sb="32" eb="36">
      <t>ショホウジョウホウ</t>
    </rPh>
    <rPh sb="41" eb="43">
      <t>ヒョウジ</t>
    </rPh>
    <rPh sb="47" eb="49">
      <t>ヒョウジ</t>
    </rPh>
    <rPh sb="53" eb="56">
      <t>ジギョウシャ</t>
    </rPh>
    <rPh sb="56" eb="57">
      <t>ム</t>
    </rPh>
    <rPh sb="67" eb="69">
      <t>デンシ</t>
    </rPh>
    <rPh sb="72" eb="76">
      <t>ジョウホウキョウユウ</t>
    </rPh>
    <rPh sb="81" eb="83">
      <t>インナイ</t>
    </rPh>
    <rPh sb="83" eb="85">
      <t>ショホウ</t>
    </rPh>
    <rPh sb="86" eb="90">
      <t>インガイショホウ</t>
    </rPh>
    <rPh sb="91" eb="93">
      <t>ヒョウジ</t>
    </rPh>
    <rPh sb="101" eb="103">
      <t>ジョウホウ</t>
    </rPh>
    <rPh sb="365" eb="367">
      <t>ヒョウジ</t>
    </rPh>
    <rPh sb="368" eb="369">
      <t>サイ</t>
    </rPh>
    <rPh sb="370" eb="372">
      <t>リュウイ</t>
    </rPh>
    <rPh sb="372" eb="374">
      <t>ジコウ</t>
    </rPh>
    <rPh sb="378" eb="380">
      <t>インナイ</t>
    </rPh>
    <rPh sb="380" eb="382">
      <t>ショホウ</t>
    </rPh>
    <rPh sb="392" eb="394">
      <t>ヒョウジ</t>
    </rPh>
    <rPh sb="430" eb="432">
      <t>セッテイ</t>
    </rPh>
    <phoneticPr fontId="2"/>
  </si>
  <si>
    <t>電子カルテ情報共有サービス</t>
    <rPh sb="0" eb="2">
      <t>デンシ</t>
    </rPh>
    <rPh sb="5" eb="9">
      <t>ジョウホウキョウユウ</t>
    </rPh>
    <phoneticPr fontId="2"/>
  </si>
  <si>
    <t>175</t>
    <phoneticPr fontId="2"/>
  </si>
  <si>
    <t>175-01</t>
    <phoneticPr fontId="2"/>
  </si>
  <si>
    <t>検査情報(XML)における黒丸改善</t>
    <rPh sb="0" eb="2">
      <t>ケンサ</t>
    </rPh>
    <rPh sb="2" eb="4">
      <t>ジョウホウ</t>
    </rPh>
    <rPh sb="13" eb="15">
      <t>クロマル</t>
    </rPh>
    <rPh sb="15" eb="17">
      <t>カイゼン</t>
    </rPh>
    <phoneticPr fontId="2"/>
  </si>
  <si>
    <r>
      <rPr>
        <sz val="11"/>
        <color rgb="FFFF0000"/>
        <rFont val="Meiryo UI"/>
        <family val="3"/>
        <charset val="128"/>
      </rPr>
      <t xml:space="preserve">2026/8/10 ACN黒川
(リリース希望時期綺麗化作業)リリース希望時期を「令和8年度秋」から「令和8年度9月」に変更。
</t>
    </r>
    <r>
      <rPr>
        <sz val="11"/>
        <color theme="1"/>
        <rFont val="Meiryo UI"/>
        <family val="3"/>
        <charset val="128"/>
      </rPr>
      <t xml:space="preserve">
2026/3/2　基金松尾
令和8年度案件として新規起票
2026/3/2　ACN櫻井
要求事項を追加</t>
    </r>
    <rPh sb="57" eb="58">
      <t>ガツ</t>
    </rPh>
    <rPh sb="74" eb="76">
      <t>キキン</t>
    </rPh>
    <rPh sb="76" eb="78">
      <t>マツオ</t>
    </rPh>
    <rPh sb="79" eb="81">
      <t>レイワ</t>
    </rPh>
    <rPh sb="82" eb="84">
      <t>ネンド</t>
    </rPh>
    <rPh sb="84" eb="86">
      <t>アンケン</t>
    </rPh>
    <rPh sb="89" eb="91">
      <t>シンキ</t>
    </rPh>
    <rPh sb="91" eb="93">
      <t>キヒョウ</t>
    </rPh>
    <rPh sb="106" eb="108">
      <t>サクライ</t>
    </rPh>
    <rPh sb="109" eb="111">
      <t>ヨウキュウ</t>
    </rPh>
    <rPh sb="111" eb="113">
      <t>ジコウ</t>
    </rPh>
    <rPh sb="114" eb="116">
      <t>ツイカ</t>
    </rPh>
    <phoneticPr fontId="2"/>
  </si>
  <si>
    <t>検査情報(XML)において黒丸が発生する可能性ある項目（基準値）について、●が発生しないようにチェックを追加する。</t>
    <rPh sb="16" eb="18">
      <t>ハッセイ</t>
    </rPh>
    <rPh sb="20" eb="23">
      <t>カノウセイ</t>
    </rPh>
    <rPh sb="25" eb="27">
      <t>コウモク</t>
    </rPh>
    <rPh sb="28" eb="31">
      <t>キジュンチ</t>
    </rPh>
    <rPh sb="39" eb="41">
      <t>ハッセイ</t>
    </rPh>
    <rPh sb="52" eb="54">
      <t>ツイカ</t>
    </rPh>
    <phoneticPr fontId="2"/>
  </si>
  <si>
    <t>■起票背景
検査結果の基準値については、テキスト入力のため、●対象の文字が含まれている場合がある。
■目的
●対象の文字が含まれないようにする。</t>
    <rPh sb="1" eb="5">
      <t>キヒョウハイケイ</t>
    </rPh>
    <rPh sb="6" eb="10">
      <t>ケンサケッカ</t>
    </rPh>
    <rPh sb="11" eb="13">
      <t>キジュン</t>
    </rPh>
    <rPh sb="13" eb="14">
      <t>チ</t>
    </rPh>
    <rPh sb="24" eb="26">
      <t>ニュウリョク</t>
    </rPh>
    <rPh sb="31" eb="33">
      <t>タイショウ</t>
    </rPh>
    <rPh sb="34" eb="36">
      <t>モジ</t>
    </rPh>
    <rPh sb="37" eb="38">
      <t>フク</t>
    </rPh>
    <rPh sb="43" eb="45">
      <t>バアイ</t>
    </rPh>
    <rPh sb="51" eb="54">
      <t>シカクモクテキ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rPh sb="56" eb="58">
      <t>タイショウ</t>
    </rPh>
    <rPh sb="59" eb="61">
      <t>モジ</t>
    </rPh>
    <rPh sb="62" eb="63">
      <t>フク</t>
    </rPh>
    <phoneticPr fontId="2"/>
  </si>
  <si>
    <t>臨床情報のobservation.referencerange.textに設定される値において、オン資で●になってしまう文字が含まれる場合はエラーとする
※対象の文字については、富士通に照会すること</t>
    <rPh sb="78" eb="80">
      <t>タイショウ</t>
    </rPh>
    <rPh sb="81" eb="83">
      <t>モジ</t>
    </rPh>
    <rPh sb="89" eb="92">
      <t>フジツウ</t>
    </rPh>
    <rPh sb="93" eb="95">
      <t>ショウカイ</t>
    </rPh>
    <phoneticPr fontId="2"/>
  </si>
  <si>
    <t>176</t>
    <phoneticPr fontId="2"/>
  </si>
  <si>
    <t>176-01</t>
    <phoneticPr fontId="2"/>
  </si>
  <si>
    <t>臨床情報</t>
    <rPh sb="0" eb="4">
      <t>リンショウジョウホウ</t>
    </rPh>
    <phoneticPr fontId="2"/>
  </si>
  <si>
    <t>検査結果の単位変換</t>
    <phoneticPr fontId="2"/>
  </si>
  <si>
    <r>
      <rPr>
        <sz val="11"/>
        <color rgb="FFFF0000"/>
        <rFont val="Meiryo UI"/>
        <family val="3"/>
        <charset val="128"/>
      </rPr>
      <t xml:space="preserve">2026/9/4 ACN中澤
開発課題検討会(9/4)の合意内容として取り下げ
取り下げ理由を備考(w列)に追記
</t>
    </r>
    <r>
      <rPr>
        <sz val="11"/>
        <color theme="1"/>
        <rFont val="Meiryo UI"/>
        <family val="3"/>
        <charset val="128"/>
      </rPr>
      <t xml:space="preserve">
2026/7/21 ACN本田
厚労省スレッドにて基金より提案のとおり、以下の要件を追記。
「単位変換マスタに問題がある場合は、エラーとせず、単位変換しないで出力」
2026/7/9 ACN本田
PHR事業者向けXMLが明示的に記載されていなかったため要件に青字で追記。7/13進捗連絡会議にて確認予定。
2026/7/9 ACN黒川
開発対象の機能の方針が決まったため、要求事項の機能から「医療機関向けPDF・XML」を削除。あわせて、備考欄に方針決定の経緯を追記。詳細は赤字を参照</t>
    </r>
    <r>
      <rPr>
        <sz val="11"/>
        <color rgb="FFFF0000"/>
        <rFont val="Meiryo UI"/>
        <family val="3"/>
        <charset val="128"/>
      </rPr>
      <t xml:space="preserve">
</t>
    </r>
    <r>
      <rPr>
        <sz val="11"/>
        <color rgb="FF000000"/>
        <rFont val="Meiryo UI"/>
        <family val="3"/>
        <charset val="128"/>
      </rPr>
      <t xml:space="preserve">
2026/6/19 ACN本田
6/15進捗連絡会議TODO1043および厚労省スレッドで報告のとおり、
本開発の際は単位変換マスタの更新によりレコードを追加できるようにする旨を追記。
2026/3/10 ACN黒川
令和8年度3月リリース案件として新規起票</t>
    </r>
    <rPh sb="12" eb="14">
      <t>ナカザワ</t>
    </rPh>
    <phoneticPr fontId="2"/>
  </si>
  <si>
    <t>ACN黒川</t>
    <rPh sb="3" eb="5">
      <t>クロカワ</t>
    </rPh>
    <phoneticPr fontId="2"/>
  </si>
  <si>
    <t>感染症・検査情報について、単位変換表を用いて中央基盤で単位変換を実施し、検査結果閲覧時に同一検査項目の結果単位を統一して表示する</t>
  </si>
  <si>
    <t>■起票背景
・電子カルテ情報共有サービスでは標準化の観点から、検査結果の単位統一を目指していた。
・モデル事業を実施した結果、医療機関で使用している試薬によっては、各医療機関の責任下で単位変換を行い登録することが難しい検査項目があるとの指摘を受けた。このため、試薬により取り得る全ての単位を登録可能とする方針となった。
・一方で、閲覧時の観点では、単位が統一されていない検査結果は利用者の混乱を招く可能性がある。そのため、厚労科研において検査結果の単位の統一に関する調査を行い、その結果を踏まえて中央基盤で単位変換を行うこととなった。
■目的
同じ検査項目における単位統一を行い、検査結果を閲覧しやすくする</t>
    <rPh sb="1" eb="3">
      <t>キヒョウ</t>
    </rPh>
    <rPh sb="3" eb="5">
      <t>ハイケイ</t>
    </rPh>
    <rPh sb="270" eb="272">
      <t>モクテキ</t>
    </rPh>
    <phoneticPr fontId="2"/>
  </si>
  <si>
    <t>同じ検査項目の単位を統一することによって、検査結果の閲覧時に利用者の混乱を防ぐことができる</t>
    <rPh sb="0" eb="1">
      <t>オナ</t>
    </rPh>
    <rPh sb="2" eb="4">
      <t>ケンサ</t>
    </rPh>
    <rPh sb="4" eb="6">
      <t>コウモク</t>
    </rPh>
    <rPh sb="7" eb="9">
      <t>タンイ</t>
    </rPh>
    <rPh sb="10" eb="12">
      <t>トウイツ</t>
    </rPh>
    <rPh sb="21" eb="23">
      <t>ケンサ</t>
    </rPh>
    <rPh sb="23" eb="25">
      <t>ケッカ</t>
    </rPh>
    <rPh sb="26" eb="28">
      <t>エツラン</t>
    </rPh>
    <rPh sb="28" eb="29">
      <t>ジ</t>
    </rPh>
    <rPh sb="30" eb="32">
      <t>リヨウ</t>
    </rPh>
    <rPh sb="32" eb="33">
      <t>シャ</t>
    </rPh>
    <rPh sb="34" eb="36">
      <t>コンラン</t>
    </rPh>
    <rPh sb="37" eb="38">
      <t>フセ</t>
    </rPh>
    <phoneticPr fontId="2"/>
  </si>
  <si>
    <t>デジタル庁
厚労科研</t>
    <rPh sb="6" eb="10">
      <t>コウロウカケン</t>
    </rPh>
    <phoneticPr fontId="2"/>
  </si>
  <si>
    <t>9/4開発課題検討会にて厚労省より報告したとおり、単位変換に係る厚労科研の調査結果およびデジタル庁との調整結果により、単位変換について懸念事項が生じたため、本案件を取り下げとする。
（懸念事項の詳細は9/4開発課題検討会 厚労資料参照）</t>
    <rPh sb="3" eb="10">
      <t>カイハツカダイケントウカイ</t>
    </rPh>
    <rPh sb="12" eb="15">
      <t>コウロウショウ</t>
    </rPh>
    <rPh sb="17" eb="19">
      <t>ホウコク</t>
    </rPh>
    <rPh sb="52" eb="56">
      <t>タンイヘンカン</t>
    </rPh>
    <rPh sb="60" eb="62">
      <t>フクスウ</t>
    </rPh>
    <rPh sb="63" eb="67">
      <t>ケネンジコウ</t>
    </rPh>
    <rPh sb="69" eb="70">
      <t>フ</t>
    </rPh>
    <rPh sb="77" eb="80">
      <t>ホンアンケン</t>
    </rPh>
    <rPh sb="81" eb="82">
      <t>ト</t>
    </rPh>
    <rPh sb="83" eb="84">
      <t>サ</t>
    </rPh>
    <rPh sb="92" eb="94">
      <t>ケネン</t>
    </rPh>
    <rPh sb="94" eb="96">
      <t>ジコウ</t>
    </rPh>
    <rPh sb="97" eb="99">
      <t>ショウサイ</t>
    </rPh>
    <rPh sb="103" eb="105">
      <t>カイハツ</t>
    </rPh>
    <rPh sb="105" eb="110">
      <t>カダイケントウカイ</t>
    </rPh>
    <rPh sb="111" eb="113">
      <t>コウロウ</t>
    </rPh>
    <rPh sb="113" eb="115">
      <t>シリョウ</t>
    </rPh>
    <rPh sb="115" eb="117">
      <t>サンショウ</t>
    </rPh>
    <phoneticPr fontId="2"/>
  </si>
  <si>
    <t>臨床情報閲覧機能</t>
    <rPh sb="0" eb="4">
      <t>リンショウジョウホウ</t>
    </rPh>
    <rPh sb="4" eb="6">
      <t>エツラン</t>
    </rPh>
    <rPh sb="6" eb="8">
      <t>キノウ</t>
    </rPh>
    <phoneticPr fontId="2"/>
  </si>
  <si>
    <r>
      <t>■機能
臨床情報閲覧機能(</t>
    </r>
    <r>
      <rPr>
        <strike/>
        <sz val="11"/>
        <color rgb="FFFF0000"/>
        <rFont val="Meiryo UI"/>
        <family val="3"/>
        <charset val="128"/>
      </rPr>
      <t>医療機関向けPDF・XML</t>
    </r>
    <r>
      <rPr>
        <sz val="11"/>
        <color theme="1"/>
        <rFont val="Meiryo UI"/>
        <family val="3"/>
        <charset val="128"/>
      </rPr>
      <t>、マイナポータル向けPDF・XML、</t>
    </r>
    <r>
      <rPr>
        <sz val="11"/>
        <color rgb="FF0000FF"/>
        <rFont val="Meiryo UI"/>
        <family val="3"/>
        <charset val="128"/>
      </rPr>
      <t>PHR事業者向けXML</t>
    </r>
    <r>
      <rPr>
        <sz val="11"/>
        <color theme="1"/>
        <rFont val="Meiryo UI"/>
        <family val="3"/>
        <charset val="128"/>
      </rPr>
      <t>)
患者サマリーの臨床情報閲覧機能(</t>
    </r>
    <r>
      <rPr>
        <sz val="11"/>
        <color rgb="FF0000FF"/>
        <rFont val="Meiryo UI"/>
        <family val="3"/>
        <charset val="128"/>
      </rPr>
      <t>マイナポータル向け</t>
    </r>
    <r>
      <rPr>
        <sz val="11"/>
        <color theme="1"/>
        <rFont val="Meiryo UI"/>
        <family val="3"/>
        <charset val="128"/>
      </rPr>
      <t>PDF・XML、</t>
    </r>
    <r>
      <rPr>
        <sz val="11"/>
        <color rgb="FF0000FF"/>
        <rFont val="Meiryo UI"/>
        <family val="3"/>
        <charset val="128"/>
      </rPr>
      <t>PHR事業者向けXML</t>
    </r>
    <r>
      <rPr>
        <sz val="11"/>
        <color theme="1"/>
        <rFont val="Meiryo UI"/>
        <family val="3"/>
        <charset val="128"/>
      </rPr>
      <t xml:space="preserve">)
</t>
    </r>
    <r>
      <rPr>
        <strike/>
        <sz val="11"/>
        <color rgb="FFFF0000"/>
        <rFont val="Meiryo UI"/>
        <family val="3"/>
        <charset val="128"/>
      </rPr>
      <t xml:space="preserve">※医療機関向けPDF・XMLを対象に含める場合と含めない場合で見積もりを実施。医療機関向けPDF・XMLの開発是非は見積もり後の最終精査時に要確認
</t>
    </r>
    <r>
      <rPr>
        <sz val="11"/>
        <color theme="1"/>
        <rFont val="Meiryo UI"/>
        <family val="3"/>
        <charset val="128"/>
      </rPr>
      <t xml:space="preserve">
■要求事項（パターンA、Bのいずれも見積もりを実施。見積もり後の開発是非の最終精査時に要確認）
パターンA・厚労科研で作成する単位変換表を基に検査結果・基準値を単位変換する
※単位変換表として最低限必要なカラムは基金より提示
パターンB
・厚労科研で検討・作成するJLAC11コードに紐づく単位変換表を基に検査結果・基準値を単位変換する
※単位変換の際に最低限必要なカラムは基金より提示
■備考
単位変換をどこで実施するのがベターであるかは基金よりご提案いただきたい
本件はR8年度３月リリース想定（９月リリースではない）
</t>
    </r>
    <r>
      <rPr>
        <sz val="11"/>
        <color rgb="FFFF0000"/>
        <rFont val="Meiryo UI"/>
        <family val="3"/>
        <charset val="128"/>
      </rPr>
      <t>・(2026/7/21追記)単位変換マスタに問題があった場合は、エラーとせず、単位変換しないで出力してください。
・(2026/7/21追記)マスタ上の異常があった場合は、システム的に検知の上、ご共有ください。</t>
    </r>
    <rPh sb="47" eb="51">
      <t>ジギョウシャム</t>
    </rPh>
    <rPh sb="80" eb="81">
      <t>ム</t>
    </rPh>
    <rPh sb="93" eb="97">
      <t>ジギョウシャム</t>
    </rPh>
    <rPh sb="453" eb="455">
      <t>ツイキ</t>
    </rPh>
    <phoneticPr fontId="2"/>
  </si>
  <si>
    <t>第31回利活用WGのとおり、医療機関間であれば、単位が異なる場合でも同じ検査項目について解釈することは可能であるが、マイナポータルで異なる単位で表現されると患者にとって解釈が難しくなることを踏まえて、患者に見せるマイナポータルでの表示については可能な限り検査値の単位を統一できるように進める方針となった。そのため、要求事項の機能を、臨床情報閲覧機能(マイナポータル向けPDF・XML)、患者サマリーの臨床情報閲覧機能(PDF・XML)とする。</t>
    <rPh sb="157" eb="159">
      <t>ヨウキュウ</t>
    </rPh>
    <rPh sb="159" eb="161">
      <t>ジコウ</t>
    </rPh>
    <rPh sb="162" eb="164">
      <t>キノウ</t>
    </rPh>
    <phoneticPr fontId="2"/>
  </si>
  <si>
    <t xml:space="preserve">
※どちらのパターンの場合においても、単位変換表相当の情報をマスタとして持ち、単位変換の対象となる単位が追加となるたびに改修が生じないようにする</t>
    <phoneticPr fontId="2"/>
  </si>
  <si>
    <t>177</t>
    <phoneticPr fontId="2"/>
  </si>
  <si>
    <t>177-01</t>
    <phoneticPr fontId="2"/>
  </si>
  <si>
    <t>検査感染症の基準値の表示ロジックの仕様修正</t>
    <phoneticPr fontId="2"/>
  </si>
  <si>
    <r>
      <rPr>
        <sz val="11"/>
        <color rgb="FFFF0000"/>
        <rFont val="Meiryo UI"/>
        <family val="3"/>
        <charset val="128"/>
      </rPr>
      <t xml:space="preserve">2026/8/10 ACN黒川
(リリース希望時期綺麗化作業)リリース希望時期を「令和8年度秋」から「令和8年度9月」に変更。
</t>
    </r>
    <r>
      <rPr>
        <sz val="11"/>
        <color theme="1"/>
        <rFont val="Meiryo UI"/>
        <family val="3"/>
        <charset val="128"/>
      </rPr>
      <t xml:space="preserve">
2026/3/10 ACN黒川
令和8年度秋案件として新規起票</t>
    </r>
    <rPh sb="57" eb="58">
      <t>ガツ</t>
    </rPh>
    <rPh sb="78" eb="80">
      <t>クロカワ</t>
    </rPh>
    <rPh sb="81" eb="83">
      <t>レイワ</t>
    </rPh>
    <rPh sb="84" eb="86">
      <t>ネンド</t>
    </rPh>
    <rPh sb="86" eb="87">
      <t>アキ</t>
    </rPh>
    <rPh sb="87" eb="89">
      <t>アンケン</t>
    </rPh>
    <rPh sb="92" eb="94">
      <t>シンキ</t>
    </rPh>
    <rPh sb="94" eb="96">
      <t>キヒョウ</t>
    </rPh>
    <phoneticPr fontId="2"/>
  </si>
  <si>
    <t>検査結果の基準値について、定量検査の基準値はobservation.referenceRange.high、low要素、定性検査の基準値はobservation.referenceRange.text要素を表示する</t>
    <phoneticPr fontId="2"/>
  </si>
  <si>
    <t>■起票背景
・現状の仕様は検査感染症の基準値では、以下の順序で表示している。(過去の要求事項と異なる)
　①observation.referenceRange.textを表示する
　② 上記①が存在しない場合、observation.referenceRange.high、lowを表示する
・observation.referenceRange.textは医療機関によるフリーテキストであるため、SJISに変換できない文字の場合黒丸表示される可能性がある。
■目的
・observation.referenceRange.textは医療機関によるフリーテキストであるため、SJISに変換できない文字の場合黒丸表示されるリスクをさげ、元来より提示していた要求事項にロジックを修正する</t>
    <rPh sb="1" eb="3">
      <t>キヒョウ</t>
    </rPh>
    <rPh sb="3" eb="5">
      <t>ハイケイ</t>
    </rPh>
    <rPh sb="233" eb="235">
      <t>モクテキ</t>
    </rPh>
    <phoneticPr fontId="2"/>
  </si>
  <si>
    <t>■機能
臨床情報閲覧機能(医療機関向けPDF・XML、マイナポータル向けPDF・XML)
患者サマリーの臨床情報閲覧機能(PDF・XML)
■要求事項
検査結果の基準値の表記は以下のように、定量値と定性値でロジックを分けるようにする_x000B_・定量値： observation.referenceRange.high、lowを表示。「下限値+下限値単位+“”～“”+上限値+上限値単位」として表示。_x000B_※下限値単位と上限値単位が重複する場合は下限値単位の表示を省略。_x000B_・定性値： observation.referenceRange.textを表示</t>
    <phoneticPr fontId="2"/>
  </si>
  <si>
    <t>178</t>
    <phoneticPr fontId="2"/>
  </si>
  <si>
    <t>178-01</t>
    <phoneticPr fontId="2"/>
  </si>
  <si>
    <t>文書・臨床情報・患者サマリーの保存期間の延長</t>
    <phoneticPr fontId="2"/>
  </si>
  <si>
    <r>
      <rPr>
        <sz val="11"/>
        <color rgb="FFFF0000"/>
        <rFont val="Meiryo UI"/>
        <family val="3"/>
        <charset val="128"/>
      </rPr>
      <t xml:space="preserve">2026/9/25 ACN黒川
・厚労省での検討の結果、リリース希望時期を見積もりのみから令和9年度に変更。
</t>
    </r>
    <r>
      <rPr>
        <sz val="11"/>
        <color theme="1"/>
        <rFont val="Meiryo UI"/>
        <family val="3"/>
        <charset val="128"/>
      </rPr>
      <t xml:space="preserve">
2026/3/16 ACN黒川
令和8年度案件として見積依頼するために新規起票</t>
    </r>
    <rPh sb="37" eb="39">
      <t>ミツ</t>
    </rPh>
    <rPh sb="48" eb="50">
      <t>ネンド</t>
    </rPh>
    <rPh sb="69" eb="71">
      <t>クロカワ</t>
    </rPh>
    <rPh sb="72" eb="74">
      <t>レイワ</t>
    </rPh>
    <rPh sb="75" eb="79">
      <t>ネンドアンケン</t>
    </rPh>
    <rPh sb="82" eb="84">
      <t>ミツモリ</t>
    </rPh>
    <rPh sb="84" eb="86">
      <t>イライ</t>
    </rPh>
    <rPh sb="91" eb="93">
      <t>シンキ</t>
    </rPh>
    <rPh sb="93" eb="95">
      <t>キヒョウ</t>
    </rPh>
    <phoneticPr fontId="2"/>
  </si>
  <si>
    <t>文書臨床情報・患者サマリーの閲覧可能期間を現行仕様から延長する。</t>
    <rPh sb="0" eb="2">
      <t>ブンショ</t>
    </rPh>
    <rPh sb="2" eb="4">
      <t>リンショウ</t>
    </rPh>
    <rPh sb="4" eb="6">
      <t>ジョウホウ</t>
    </rPh>
    <rPh sb="7" eb="9">
      <t>カンジャ</t>
    </rPh>
    <rPh sb="14" eb="16">
      <t>エツラン</t>
    </rPh>
    <rPh sb="16" eb="18">
      <t>カノウ</t>
    </rPh>
    <rPh sb="18" eb="20">
      <t>キカン</t>
    </rPh>
    <rPh sb="21" eb="23">
      <t>ゲンコウ</t>
    </rPh>
    <rPh sb="23" eb="25">
      <t>シヨウ</t>
    </rPh>
    <rPh sb="27" eb="29">
      <t>エンチョウ</t>
    </rPh>
    <phoneticPr fontId="2"/>
  </si>
  <si>
    <t>■起票背景
・2026/3/11に内閣府主催の「第10回 健康・医療・介護ワーキング・グループ」において、患者がより長期間にわたり医療情報を閲覧できるよう、臨床情報の閲覧可能期間を延長すべきとの意見が示された。
■目的
・文書臨床情報・患者サマリーの閲覧可能期間を現行仕様から延長する。</t>
    <rPh sb="1" eb="3">
      <t>キヒョウ</t>
    </rPh>
    <rPh sb="3" eb="5">
      <t>ハイケイ</t>
    </rPh>
    <rPh sb="108" eb="110">
      <t>モクテキ</t>
    </rPh>
    <phoneticPr fontId="2"/>
  </si>
  <si>
    <t>過去の自身の医療情報を閲覧できるようになる</t>
    <rPh sb="0" eb="2">
      <t>カコ</t>
    </rPh>
    <rPh sb="3" eb="5">
      <t>ジシン</t>
    </rPh>
    <rPh sb="6" eb="8">
      <t>イリョウ</t>
    </rPh>
    <rPh sb="8" eb="10">
      <t>ジョウホウ</t>
    </rPh>
    <rPh sb="11" eb="13">
      <t>エツラン</t>
    </rPh>
    <phoneticPr fontId="2"/>
  </si>
  <si>
    <t>要確認
(保存期間の設定結果によっては長期保存フラグが不要)</t>
    <rPh sb="0" eb="1">
      <t>ヨウ</t>
    </rPh>
    <rPh sb="1" eb="3">
      <t>カクニン</t>
    </rPh>
    <rPh sb="5" eb="7">
      <t>ホゾン</t>
    </rPh>
    <rPh sb="7" eb="9">
      <t>キカン</t>
    </rPh>
    <rPh sb="10" eb="12">
      <t>セッテイ</t>
    </rPh>
    <rPh sb="12" eb="14">
      <t>ケッカ</t>
    </rPh>
    <rPh sb="19" eb="23">
      <t>チョウキホゾン</t>
    </rPh>
    <rPh sb="27" eb="29">
      <t>フヨウ</t>
    </rPh>
    <phoneticPr fontId="2"/>
  </si>
  <si>
    <t>２書保存期機能・健診文書保存機能・臨床情報保存機能・患者サマリー保存機能​</t>
    <phoneticPr fontId="2"/>
  </si>
  <si>
    <t>■機能​
２書保存期機能・健診文書保存機能・臨床情報保存機能・患者サマリー保存機能​
■要求事項①​
・下記の保存期間のそれぞれのパターンについて、保存期間の延長を行った場合の開発費用・ランニングコストを「診療情報提供書・退院時サマリー・健診文書・傷病名・感染症・検査・薬剤アレルギー等・その他アレルギー等・患者サマリー」それぞれの情報に対して算出する。​
　▸5年​
　▸10年​
　▸15年​
　▸20年​
　▸87年​
　▸120年​
■要求事項②​
・保存期間のが１年延伸するごとに開発費用・ランニングコストがいくら増加となるかを「診療情報提供書・退院時サマリー・健診文書・傷病名・感染症・検査・薬剤アレルギー等・その他アレルギー等・患者サマリー」それぞれの情報に対して算出する。​
　※DBの容量がジャンプアップするごとに１年間の増加幅が異なる場合は、それもそれぞれ考慮したうえで算出する
■備考
※見積もりのみの実施とし、実際の改修要否は今後検討。※診療情報提供書・退院時サマリーは医療機関が取得後７日間で削除する仕様であるが、医療機関が取得後もDBに保存し続ける前提で試算いただきたい
※検査結果は１年または３回分の整理であるが、３回分は考慮せず、５年保存・10年保存・・・という風に試算いただきたい</t>
    <phoneticPr fontId="2"/>
  </si>
  <si>
    <t>179</t>
    <phoneticPr fontId="2"/>
  </si>
  <si>
    <t>179-01</t>
    <phoneticPr fontId="2"/>
  </si>
  <si>
    <t>診療情報提供書・退院時サマリーの患者閲覧</t>
    <phoneticPr fontId="2"/>
  </si>
  <si>
    <r>
      <rPr>
        <sz val="11"/>
        <color rgb="FFFF0000"/>
        <rFont val="Meiryo UI"/>
        <family val="3"/>
        <charset val="128"/>
      </rPr>
      <t xml:space="preserve">2026/9/25 ACN黒川
・規制改革を受けた厚労省での検討の結果、本案件は取り下げとする。
</t>
    </r>
    <r>
      <rPr>
        <sz val="11"/>
        <color theme="1"/>
        <rFont val="Meiryo UI"/>
        <family val="3"/>
        <charset val="128"/>
      </rPr>
      <t xml:space="preserve">
2026/3/16 ACN黒川
令和8年度案件として見積を取得するために新規起票</t>
    </r>
    <rPh sb="17" eb="21">
      <t>キセイカイカク</t>
    </rPh>
    <rPh sb="22" eb="23">
      <t>ウ</t>
    </rPh>
    <rPh sb="25" eb="27">
      <t>ミツモリ</t>
    </rPh>
    <rPh sb="28" eb="30">
      <t>シュトク</t>
    </rPh>
    <rPh sb="35" eb="37">
      <t>シンキ</t>
    </rPh>
    <rPh sb="37" eb="39">
      <t>キヒョウ</t>
    </rPh>
    <phoneticPr fontId="2"/>
  </si>
  <si>
    <t>診療情報提供書・退院時サマリーを患者が閲覧できるようにする。</t>
    <rPh sb="0" eb="2">
      <t>シンリョウ</t>
    </rPh>
    <rPh sb="2" eb="4">
      <t>ジョウホウ</t>
    </rPh>
    <rPh sb="4" eb="6">
      <t>テイキョウ</t>
    </rPh>
    <rPh sb="6" eb="7">
      <t>ショ</t>
    </rPh>
    <rPh sb="8" eb="11">
      <t>タイインジ</t>
    </rPh>
    <rPh sb="16" eb="18">
      <t>カンジャ</t>
    </rPh>
    <rPh sb="19" eb="21">
      <t>エツラン</t>
    </rPh>
    <phoneticPr fontId="2"/>
  </si>
  <si>
    <t>■起票背景
・2026/3/11に内閣府主催の「第10回 健康・医療・介護ワーキング・グループ」において、診療情報提供書・退院時サマリーは患者が閲覧できるようにすべきではないかとの意見が示された。
■目的
・文書臨床情報・患者サマリーの閲覧可能期間を現行仕様から延長する</t>
    <rPh sb="1" eb="3">
      <t>キヒョウ</t>
    </rPh>
    <rPh sb="3" eb="5">
      <t>ハイケイ</t>
    </rPh>
    <rPh sb="101" eb="103">
      <t>モクテキ</t>
    </rPh>
    <phoneticPr fontId="2"/>
  </si>
  <si>
    <t>見積もりのみ</t>
    <rPh sb="0" eb="2">
      <t>ミツ</t>
    </rPh>
    <phoneticPr fontId="2"/>
  </si>
  <si>
    <t>【取り下げ理由】
規制改革WGに対する回答作成に向けた見積もりの取得のために起票したが、厚労省での検討の結果、診療情報提供書・退院時サマリーの患者閲覧は対応しないこととしたため。</t>
    <rPh sb="1" eb="2">
      <t>ト</t>
    </rPh>
    <rPh sb="3" eb="4">
      <t>サ</t>
    </rPh>
    <rPh sb="5" eb="7">
      <t>リユウ</t>
    </rPh>
    <rPh sb="9" eb="13">
      <t>キセイカイカク</t>
    </rPh>
    <rPh sb="16" eb="17">
      <t>タイ</t>
    </rPh>
    <rPh sb="19" eb="21">
      <t>カイトウ</t>
    </rPh>
    <rPh sb="21" eb="23">
      <t>サクセイ</t>
    </rPh>
    <rPh sb="24" eb="25">
      <t>ム</t>
    </rPh>
    <rPh sb="27" eb="29">
      <t>ミツ</t>
    </rPh>
    <rPh sb="32" eb="34">
      <t>シュトク</t>
    </rPh>
    <rPh sb="38" eb="40">
      <t>キヒョウ</t>
    </rPh>
    <rPh sb="44" eb="47">
      <t>コウロウショウ</t>
    </rPh>
    <rPh sb="49" eb="51">
      <t>ケントウ</t>
    </rPh>
    <rPh sb="52" eb="54">
      <t>ケッカ</t>
    </rPh>
    <rPh sb="55" eb="62">
      <t>シンリョウジョウホウテイキョウショ</t>
    </rPh>
    <rPh sb="63" eb="66">
      <t>タイインジ</t>
    </rPh>
    <rPh sb="71" eb="73">
      <t>カンジャ</t>
    </rPh>
    <rPh sb="73" eb="75">
      <t>エツラン</t>
    </rPh>
    <rPh sb="76" eb="78">
      <t>タイオウ</t>
    </rPh>
    <phoneticPr fontId="2"/>
  </si>
  <si>
    <t>マイナポータル閲覧機能​</t>
    <phoneticPr fontId="2"/>
  </si>
  <si>
    <t>■機能​
マイナポータル閲覧機能​
■要求事項①​
・患者がマイナポータルにおいて「PDF」を取得・閲覧、「マイナポータル画面(ナラティブ表示のみ)」を閲覧できる​
※オン資からマイナポータルへの連携方法は以下のとおり​
　PDF：紹介元医療機関が添付した文書全体のPDF​
　マイナポータル画面(ナラティブ表示のみ)：FHIR記述のまま連携​
　​
■要求事項②​
・現状のルールとして、診療情報提供書は親展であり、紹介先医師以外は閲覧できないこととしている。​
・診療情報提供書の内容によっては、患者に誤解を招く可能性があるため、医師が患者へ閲覧してよいか否かのフラグを付けるような仕様とする。フラグのつけ方としては以下2パターン想定されるが、見積もりが高いものを選定する。​
　▸FHIRプロファイルでフラグを設定できるようにする​
　▸XMLの改修によりフラグを設定できるようにする
■備考
※見積もりのみの実施とし、実際の改修要否は今後検討。</t>
  </si>
  <si>
    <t>180</t>
    <phoneticPr fontId="2"/>
  </si>
  <si>
    <t>180-1</t>
    <phoneticPr fontId="2"/>
  </si>
  <si>
    <t>電カル共有サービスの名称変更に伴る文言修正</t>
    <rPh sb="0" eb="1">
      <t>デン</t>
    </rPh>
    <rPh sb="3" eb="5">
      <t>キョウユウ</t>
    </rPh>
    <rPh sb="10" eb="12">
      <t>メイショウ</t>
    </rPh>
    <rPh sb="12" eb="14">
      <t>ヘンコウ</t>
    </rPh>
    <rPh sb="15" eb="16">
      <t>トモナ</t>
    </rPh>
    <rPh sb="17" eb="19">
      <t>モンゴン</t>
    </rPh>
    <rPh sb="19" eb="21">
      <t>シュウセイ</t>
    </rPh>
    <phoneticPr fontId="2"/>
  </si>
  <si>
    <t>2026/8/10 ACN黒川
(リリース希望時期綺麗化作業)リリース希望時期を「要調整(最短の調整時期を修正)」から「取り下げ」に変更。
2026/5/25 ACN本田
電子カルテ情報共有サービスの名称を変更しない方針となったため取り下げ
2026/3/16 ACN黒川
令和8年度案件として新規起票</t>
    <rPh sb="13" eb="15">
      <t>クロカワ</t>
    </rPh>
    <rPh sb="21" eb="23">
      <t>キボウ</t>
    </rPh>
    <rPh sb="23" eb="25">
      <t>ジキ</t>
    </rPh>
    <rPh sb="25" eb="27">
      <t>キレイ</t>
    </rPh>
    <rPh sb="27" eb="28">
      <t>カ</t>
    </rPh>
    <rPh sb="28" eb="30">
      <t>サギョウ</t>
    </rPh>
    <rPh sb="35" eb="37">
      <t>キボウ</t>
    </rPh>
    <rPh sb="37" eb="39">
      <t>ジキ</t>
    </rPh>
    <rPh sb="41" eb="42">
      <t>ヨウ</t>
    </rPh>
    <rPh sb="42" eb="44">
      <t>チョウセイ</t>
    </rPh>
    <rPh sb="45" eb="47">
      <t>サイタン</t>
    </rPh>
    <rPh sb="48" eb="50">
      <t>チョウセイ</t>
    </rPh>
    <rPh sb="50" eb="52">
      <t>ジキ</t>
    </rPh>
    <rPh sb="53" eb="55">
      <t>シュウセイ</t>
    </rPh>
    <rPh sb="60" eb="61">
      <t>ト</t>
    </rPh>
    <rPh sb="62" eb="63">
      <t>サ</t>
    </rPh>
    <rPh sb="66" eb="68">
      <t>ヘンコウ</t>
    </rPh>
    <rPh sb="84" eb="86">
      <t>ホンダ</t>
    </rPh>
    <rPh sb="87" eb="89">
      <t>デンシ</t>
    </rPh>
    <rPh sb="92" eb="96">
      <t>ジョウホウキョウユウ</t>
    </rPh>
    <rPh sb="101" eb="103">
      <t>メイショウ</t>
    </rPh>
    <rPh sb="104" eb="106">
      <t>ヘンコウ</t>
    </rPh>
    <rPh sb="109" eb="111">
      <t>ホウシン</t>
    </rPh>
    <rPh sb="117" eb="118">
      <t>ト</t>
    </rPh>
    <rPh sb="119" eb="120">
      <t>サ</t>
    </rPh>
    <rPh sb="136" eb="138">
      <t>クロカワ</t>
    </rPh>
    <rPh sb="139" eb="141">
      <t>レイワ</t>
    </rPh>
    <rPh sb="142" eb="144">
      <t>ネンド</t>
    </rPh>
    <rPh sb="144" eb="146">
      <t>アンケン</t>
    </rPh>
    <rPh sb="149" eb="151">
      <t>シンキ</t>
    </rPh>
    <rPh sb="151" eb="153">
      <t>キヒョウ</t>
    </rPh>
    <phoneticPr fontId="2"/>
  </si>
  <si>
    <t>厚労省内部検知/要望</t>
    <phoneticPr fontId="2"/>
  </si>
  <si>
    <t>各システムにおける「電子カルテ情報共有サービス」の名称を変更する。</t>
    <rPh sb="0" eb="1">
      <t>カク</t>
    </rPh>
    <rPh sb="10" eb="12">
      <t>デンシ</t>
    </rPh>
    <rPh sb="15" eb="19">
      <t>ジョウホウキョウユウ</t>
    </rPh>
    <rPh sb="25" eb="27">
      <t>メイショウ</t>
    </rPh>
    <rPh sb="28" eb="30">
      <t>ヘンコウ</t>
    </rPh>
    <phoneticPr fontId="2"/>
  </si>
  <si>
    <t>■起票背景
・「電子カルテ情報共有サービス」というサービス名称が、変更されることになった。
■目的
・厚生労働省および支払基金が公開しているシステムや周知サイトにおいて、旧名称を新名称に変更する。</t>
    <rPh sb="1" eb="3">
      <t>キヒョウ</t>
    </rPh>
    <rPh sb="3" eb="5">
      <t>ハイケイ</t>
    </rPh>
    <rPh sb="46" eb="47">
      <t>カ</t>
    </rPh>
    <rPh sb="94" eb="96">
      <t>ヘンコウ</t>
    </rPh>
    <phoneticPr fontId="2"/>
  </si>
  <si>
    <t>「電子カルテ情報共有サービス」の名称だと、
電子カルテの情報がすべて共有されるといった誤解を生じる場合があるため、そのようなリスクが回避される。</t>
    <rPh sb="1" eb="3">
      <t>デンシ</t>
    </rPh>
    <rPh sb="6" eb="10">
      <t>ジョウホウキョウユウ</t>
    </rPh>
    <rPh sb="16" eb="18">
      <t>メイショウ</t>
    </rPh>
    <rPh sb="22" eb="24">
      <t>デンシ</t>
    </rPh>
    <rPh sb="28" eb="30">
      <t>ジョウホウ</t>
    </rPh>
    <rPh sb="34" eb="36">
      <t>キョウユウ</t>
    </rPh>
    <rPh sb="43" eb="45">
      <t>ゴカイ</t>
    </rPh>
    <rPh sb="46" eb="47">
      <t>ショウ</t>
    </rPh>
    <rPh sb="49" eb="51">
      <t>バアイ</t>
    </rPh>
    <rPh sb="66" eb="68">
      <t>カイヒ</t>
    </rPh>
    <phoneticPr fontId="2"/>
  </si>
  <si>
    <t>取り下げ理由：電カル共有の名称を変更しない方針となったため
(20260522三者定例にて報告ずみ)</t>
    <rPh sb="0" eb="4">
      <t>トリサゲリ</t>
    </rPh>
    <rPh sb="4" eb="6">
      <t>ユウ</t>
    </rPh>
    <rPh sb="7" eb="8">
      <t>デン</t>
    </rPh>
    <rPh sb="10" eb="12">
      <t>キョウユウ</t>
    </rPh>
    <rPh sb="13" eb="15">
      <t>メイショウ</t>
    </rPh>
    <rPh sb="16" eb="18">
      <t>ヘンコウ</t>
    </rPh>
    <rPh sb="21" eb="23">
      <t>ホウシン</t>
    </rPh>
    <rPh sb="39" eb="41">
      <t>サンシャ</t>
    </rPh>
    <rPh sb="41" eb="43">
      <t>テイレイ</t>
    </rPh>
    <rPh sb="45" eb="47">
      <t>ホウコク</t>
    </rPh>
    <phoneticPr fontId="2"/>
  </si>
  <si>
    <t>※要求事項の内容参照</t>
    <rPh sb="1" eb="3">
      <t>ヨウキュウ</t>
    </rPh>
    <rPh sb="3" eb="5">
      <t>ジコウ</t>
    </rPh>
    <rPh sb="6" eb="8">
      <t>ナイヨウ</t>
    </rPh>
    <rPh sb="8" eb="10">
      <t>サンショウ</t>
    </rPh>
    <phoneticPr fontId="2"/>
  </si>
  <si>
    <t>■対象​
＜システム＞​
電子カルテ情報共有サービス、オンライン資格確認等(マイナ在宅受付Web、マイナ資格確認アプリも含む)、マイナポータル​、収集システム
＜周知サイト＞​
医療機関等向け総合ポータルサイト、医療機関等ONS​
■要求事項​
・旧サービス名称が使用されている箇所について、修正対象の洗い出しを行う。​
・各システム・サイトの画面表示、説明文、図表等に含まれる文言を修正する。
■備考
※本件は機能追加・仕様変更を伴わない、文言修正を主目的とした改修とする。
※管理システムの改修依頼は国保中央会に別途確認依頼する。</t>
    <rPh sb="73" eb="75">
      <t>シュウシュウ</t>
    </rPh>
    <rPh sb="201" eb="203">
      <t>ビコウ</t>
    </rPh>
    <phoneticPr fontId="2"/>
  </si>
  <si>
    <t>181</t>
    <phoneticPr fontId="2"/>
  </si>
  <si>
    <t>181-1</t>
    <phoneticPr fontId="2"/>
  </si>
  <si>
    <t>ポータルサイトにおける薬局・歯科の電子カルテ情報共有サービスの運用開始日登録の非活性化</t>
    <phoneticPr fontId="2"/>
  </si>
  <si>
    <r>
      <rPr>
        <sz val="11"/>
        <color rgb="FFFF0000"/>
        <rFont val="Meiryo UI"/>
        <family val="3"/>
        <charset val="128"/>
      </rPr>
      <t xml:space="preserve">2026/8/10 ACN黒川
(リリース希望時期綺麗化作業)リリース希望時期を「令和8年度 ※案件166と同タイミング」から「取り下げ」に変更。
2026/6/29　基金大野
本格運用に向けたリリースのための改修として、案件ID166に統合することとなったため、取り下げ
</t>
    </r>
    <r>
      <rPr>
        <sz val="11"/>
        <color rgb="FF000000"/>
        <rFont val="Meiryo UI"/>
        <family val="3"/>
        <charset val="128"/>
      </rPr>
      <t xml:space="preserve">
2026/3/18 ACN本田
令和8年度案件として起票
</t>
    </r>
    <rPh sb="48" eb="50">
      <t>アンケン</t>
    </rPh>
    <rPh sb="54" eb="55">
      <t>ドウ</t>
    </rPh>
    <phoneticPr fontId="2"/>
  </si>
  <si>
    <t>ポータルサイトにおいて薬局・歯科の電子カルテ情報共有サービスの運用開始日を登録できないようにする。</t>
    <phoneticPr fontId="2"/>
  </si>
  <si>
    <t>■起票背景
・電子カルテ情報共有サービスでは、医療機関における運用テスト実施後、運用開始日登録を行ってから電子カルテ情報共有サービスを利用することを医療機関へ案内する予定である。
・運用開始日登録を実施することで当該医療機関は、他医療機関からの診療情報提供書・退院時サマリーの送信先に設定可能となる。
・一方で、現行、薬局・歯科においては文書のやり取りを行わないため、運用開始日登録有無による機能の変更はない。 
・今後の歯科・薬局と医科間における文書のやり取りの際に運用開始日フラグを活用できることを踏まえ、現時点(令和8年度冬の全国運用開始のタイミング)では歯科・薬局で運用開始日の入力はしない方針となった。
■目的
・ポータルサイトにおいて、薬局・歯科の運用開始日登録を蓋閉じし、今後の歯科・薬局・医科間における文書のやり取りの際に運用開始日登録ができるようにする</t>
    <rPh sb="1" eb="5">
      <t>キヒョウハイケイ</t>
    </rPh>
    <rPh sb="308" eb="311">
      <t>シカクモクテキ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</si>
  <si>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今後の歯科・薬局・医科間における文書のやり取りの際に運用開始日登録ができるようになり、電子カルテ情報共有サービスの導入施設一覧が見やすくなる</t>
    <rPh sb="43" eb="45">
      <t>デンシ</t>
    </rPh>
    <rPh sb="48" eb="52">
      <t>ジョウホウキョウユウ</t>
    </rPh>
    <rPh sb="57" eb="59">
      <t>ドウニュウ</t>
    </rPh>
    <rPh sb="59" eb="61">
      <t>シセツ</t>
    </rPh>
    <rPh sb="61" eb="63">
      <t>イチラン</t>
    </rPh>
    <rPh sb="64" eb="65">
      <t>ミ</t>
    </rPh>
    <phoneticPr fontId="2"/>
  </si>
  <si>
    <t>運用開始日登録</t>
    <rPh sb="0" eb="2">
      <t>ウンヨウ</t>
    </rPh>
    <rPh sb="2" eb="4">
      <t>カイシ</t>
    </rPh>
    <rPh sb="4" eb="5">
      <t>ビ</t>
    </rPh>
    <rPh sb="5" eb="7">
      <t>トウロク</t>
    </rPh>
    <phoneticPr fontId="2"/>
  </si>
  <si>
    <t>■機能
医療機関等向け総合ポータルサイト　運用開始日登録機
■要求事項
ポータルサイトにおいて薬局・歯科の電子カルテ情報共有サービスの運用開始日を登録できないようにする。
※将来的に薬局・歯科も文書のやり取りの宛先になることとなった際に、運用開始日入力機能を蓋開けすることを見越して、リーズナブルな方法を基金より提案いただきたい
■備考
※リリースは案件＃166_ポータルサイトの利用申請機能等の蓋開けと合わせる
※薬局・歯科の電子カルテ情報共有サービスの活用方法は別途検討する</t>
    <phoneticPr fontId="2"/>
  </si>
  <si>
    <t>182</t>
    <phoneticPr fontId="2"/>
  </si>
  <si>
    <t>182-1</t>
    <phoneticPr fontId="2"/>
  </si>
  <si>
    <t>黒丸表示される文字の変換対応</t>
    <phoneticPr fontId="2"/>
  </si>
  <si>
    <r>
      <rPr>
        <sz val="11"/>
        <color rgb="FFFF0000"/>
        <rFont val="Meiryo UI"/>
        <family val="3"/>
        <charset val="128"/>
      </rPr>
      <t xml:space="preserve">2026/8/10 ACN黒川
(リリース希望時期綺麗化作業)リリース希望時期を「令和8年度秋」から「令和8年度9月」に変更。
</t>
    </r>
    <r>
      <rPr>
        <sz val="11"/>
        <color theme="1"/>
        <rFont val="Meiryo UI"/>
        <family val="3"/>
        <charset val="128"/>
      </rPr>
      <t xml:space="preserve">
2026/3/23 ACN本田
令和8年度秋案件として起票</t>
    </r>
    <rPh sb="78" eb="80">
      <t>ホンダ</t>
    </rPh>
    <rPh sb="81" eb="83">
      <t>レイワ</t>
    </rPh>
    <rPh sb="84" eb="86">
      <t>ネンド</t>
    </rPh>
    <rPh sb="86" eb="87">
      <t>アキ</t>
    </rPh>
    <rPh sb="87" eb="89">
      <t>アンケン</t>
    </rPh>
    <rPh sb="92" eb="94">
      <t>キヒョウ</t>
    </rPh>
    <phoneticPr fontId="2"/>
  </si>
  <si>
    <t>連携アプリケーションにて文字コードをSJISに変換されても●(黒丸)が返却されないようにする。</t>
    <phoneticPr fontId="2"/>
  </si>
  <si>
    <t>■起票背景
・電カル共有サービスでは、FHIR規約に基づき登録データの文字コードを「UTF-8(全Unicode文字対応)」としている。このため、第一・第二水準外文字が含まれる可能性がある。
・その結果、医療機関等のオン資端末側で文字コード設定として「Shift_JIS」が選択されている場合、取得対象データ（臨床情報一覧・健診情報のXML）に第一・第二水準外文字が含まれていると、上記ルールに従い「●(黒丸)」が返却されることとなる。
・標準マスタのうち、臨床情報を取得する際に連携アプリケーションで文字コードが変換(UTF-8→S-JIS)によって黒丸が表示されるのは、「ー」(文字コード：U+FF0D) のみであった。
・また、文字コードの変換の影響を受ける「ー」(文字コード： U+FF0D)は、レセプト請求で用いている「標準病名マスタ」にも含まれており、 「標準病名マスタ」を履歴管理している「標準病名履歴マスタ」「修飾語マスタ」にも含まれている状況である。
■目的
・連携アプリケーションにて文字コードをSJISに変換されても●(黒丸)が返却されないようにする。</t>
    <phoneticPr fontId="2"/>
  </si>
  <si>
    <t>医療機関が登録された情報が黒丸表示にならずに他医療機関へ連携される</t>
    <rPh sb="0" eb="2">
      <t>イリョウ</t>
    </rPh>
    <rPh sb="2" eb="4">
      <t>キカン</t>
    </rPh>
    <rPh sb="5" eb="7">
      <t>トウロク</t>
    </rPh>
    <rPh sb="10" eb="12">
      <t>ジョウホウ</t>
    </rPh>
    <rPh sb="13" eb="15">
      <t>クロマル</t>
    </rPh>
    <rPh sb="15" eb="17">
      <t>ヒョウジ</t>
    </rPh>
    <rPh sb="22" eb="23">
      <t>ホカ</t>
    </rPh>
    <rPh sb="23" eb="27">
      <t>イリョウキカン</t>
    </rPh>
    <rPh sb="28" eb="30">
      <t>レンケイ</t>
    </rPh>
    <phoneticPr fontId="2"/>
  </si>
  <si>
    <t>保険局
医薬局
社援局</t>
    <rPh sb="0" eb="3">
      <t>ホケンキョク</t>
    </rPh>
    <rPh sb="4" eb="7">
      <t>イヤクキョク</t>
    </rPh>
    <rPh sb="8" eb="9">
      <t>シャ</t>
    </rPh>
    <rPh sb="9" eb="10">
      <t>エン</t>
    </rPh>
    <rPh sb="10" eb="11">
      <t>キョク</t>
    </rPh>
    <phoneticPr fontId="2"/>
  </si>
  <si>
    <t>外部IFにおける結果リクエストの受領</t>
    <rPh sb="0" eb="2">
      <t>ガイブ</t>
    </rPh>
    <rPh sb="8" eb="10">
      <t>ケッカ</t>
    </rPh>
    <rPh sb="16" eb="18">
      <t>ジュリョウ</t>
    </rPh>
    <phoneticPr fontId="2"/>
  </si>
  <si>
    <t>■機能
連携APにおける文字コード変換機能
_x000B_■要求事項
外部IFの結果ファイル返却時に以下の文字コードはSJISで表現できる文字に変換して返却する。
　&lt;対象文字&gt;
　・「ー」 (文字コード： U+FF0D)
■備考
※対象文字の変換後の文字は基金にて検討いただきたい。
※見積もりにあたり、以下2パターンで確認いただきたい。
　パターンA：外部IFごとに対象文字を変換するか否かを制御する
　　　　　　　(例：TKK_ IF_002およびCIP_IF_002のみ文字変換を行う)
　パターンB：すべての外部IFを返却する際に対象文字の変換を適応する
※パターンBとなった場合、保険局・医薬局・社援局に対しては、別途調整が必要</t>
    <rPh sb="108" eb="110">
      <t>ビコウ</t>
    </rPh>
    <rPh sb="206" eb="207">
      <t>レイ</t>
    </rPh>
    <rPh sb="234" eb="236">
      <t>モジ</t>
    </rPh>
    <rPh sb="236" eb="238">
      <t>ヘンカン</t>
    </rPh>
    <rPh sb="239" eb="240">
      <t>オコナ</t>
    </rPh>
    <phoneticPr fontId="2"/>
  </si>
  <si>
    <t>183</t>
  </si>
  <si>
    <t>183-1</t>
  </si>
  <si>
    <t>保険者での健診種別ごとの取得リクエストの制御</t>
    <phoneticPr fontId="2"/>
  </si>
  <si>
    <r>
      <t xml:space="preserve">2026/4/6 基金大野
令和8年度案件として起票
</t>
    </r>
    <r>
      <rPr>
        <sz val="11"/>
        <color rgb="FFFF0000"/>
        <rFont val="Meiryo UI"/>
        <family val="3"/>
        <charset val="128"/>
      </rPr>
      <t xml:space="preserve">
2026/7/13　基金大野
実施しないこととなった為、取り下げ
</t>
    </r>
    <rPh sb="43" eb="45">
      <t>ジッシ</t>
    </rPh>
    <rPh sb="54" eb="55">
      <t>タメ</t>
    </rPh>
    <phoneticPr fontId="2"/>
  </si>
  <si>
    <t>基金</t>
  </si>
  <si>
    <t>基金大野</t>
  </si>
  <si>
    <t>保険者側からの取得リクエストについて、健診種別ごとに制御できるようにする。</t>
    <phoneticPr fontId="2"/>
  </si>
  <si>
    <r>
      <rPr>
        <sz val="11"/>
        <color rgb="FF000000"/>
        <rFont val="Meiryo UI"/>
        <family val="3"/>
        <charset val="128"/>
      </rPr>
      <t>■起票背景
・現状、保険者側の取得リクエストは解放状態となっているため、省令等の整備が整っていない健診種別についてもシステム的には取得可能となっている。
■目的
取得リクエストを</t>
    </r>
    <r>
      <rPr>
        <sz val="11"/>
        <color rgb="FFFF0000"/>
        <rFont val="Meiryo UI"/>
        <family val="3"/>
        <charset val="128"/>
      </rPr>
      <t>健診種別により</t>
    </r>
    <r>
      <rPr>
        <sz val="11"/>
        <color rgb="FF000000"/>
        <rFont val="Meiryo UI"/>
        <family val="3"/>
        <charset val="128"/>
      </rPr>
      <t>制御することで、省令等の整備が整った健診種別から運用を開始できるようにする。</t>
    </r>
    <r>
      <rPr>
        <sz val="11"/>
        <color rgb="FFFF0000"/>
        <rFont val="Meiryo UI"/>
        <family val="3"/>
        <charset val="128"/>
      </rPr>
      <t>（4/17大野追記）</t>
    </r>
    <phoneticPr fontId="2"/>
  </si>
  <si>
    <t>保険局
医政局</t>
  </si>
  <si>
    <t>本格運用開始時</t>
  </si>
  <si>
    <t>取得リクエストの制御</t>
  </si>
  <si>
    <t>収集システム/電カル共有</t>
  </si>
  <si>
    <r>
      <rPr>
        <sz val="11"/>
        <color rgb="FF000000"/>
        <rFont val="Meiryo UI"/>
        <family val="3"/>
        <charset val="128"/>
      </rPr>
      <t xml:space="preserve">■機能​
保険者での健診種別ごとの取得リクエストの制御
■要求事項
健診種別ごとに取得リクエストを制御する。
</t>
    </r>
    <r>
      <rPr>
        <sz val="11"/>
        <color rgb="FFFF0000"/>
        <rFont val="Meiryo UI"/>
        <family val="3"/>
        <charset val="128"/>
      </rPr>
      <t>また、都度の改修を要せず、省令の整備が整った健診種別ごとに運用で取得を開放できるようにする。（4/17大野追記）</t>
    </r>
    <phoneticPr fontId="2"/>
  </si>
  <si>
    <t>184</t>
  </si>
  <si>
    <t>184-1</t>
  </si>
  <si>
    <t>利用開始日オン資連携のシステム化</t>
    <phoneticPr fontId="2"/>
  </si>
  <si>
    <r>
      <rPr>
        <sz val="11"/>
        <color rgb="FF000000"/>
        <rFont val="Meiryo UI"/>
        <family val="3"/>
        <charset val="128"/>
      </rPr>
      <t xml:space="preserve">2026/4/3 基金大野
令和8年度案件として起票
</t>
    </r>
    <r>
      <rPr>
        <sz val="11"/>
        <color rgb="FFFF0000"/>
        <rFont val="Meiryo UI"/>
        <family val="3"/>
        <charset val="128"/>
      </rPr>
      <t>ベンダの工数逼迫等のため、リリース機能時期を、「本格運用開始時」から「令和9年3月」へ変更</t>
    </r>
  </si>
  <si>
    <t>ポータルサイトから登録された利用開始日をオン資へ自動連係する。</t>
    <phoneticPr fontId="2"/>
  </si>
  <si>
    <t>■起票背景
ポータルサイトから登録された利用開始日は、現在、基金職員の手作業でオン資へ連携していることから、人為的ミスを防ぐため、システム化する。
■目的
手作業を減らして人為的ミスを防ぐ。</t>
  </si>
  <si>
    <t>保険局
医薬局
医政局</t>
  </si>
  <si>
    <r>
      <rPr>
        <strike/>
        <sz val="11"/>
        <color rgb="FFFF0000"/>
        <rFont val="Meiryo UI"/>
        <family val="3"/>
        <charset val="128"/>
      </rPr>
      <t xml:space="preserve">本格運用開始時
</t>
    </r>
    <r>
      <rPr>
        <sz val="11"/>
        <color rgb="FFFF0000"/>
        <rFont val="Meiryo UI"/>
        <family val="3"/>
        <charset val="128"/>
      </rPr>
      <t>令和9年3月</t>
    </r>
  </si>
  <si>
    <t>利用開始日のオン資連携</t>
  </si>
  <si>
    <t>電カル共有/オン資/電子処方箋</t>
    <phoneticPr fontId="2"/>
  </si>
  <si>
    <t>■機能​
利用開始日のオン資連携システム化​　
■要求事項
ポータルサイトから登録された利用開始日をオン資へ自動連携する。
■備考
※ポータルサイトの連携用S3とオン資側のS3が連携できることが前提となるので要確認</t>
  </si>
  <si>
    <t>185</t>
  </si>
  <si>
    <t>185-1</t>
  </si>
  <si>
    <t>運用開始日オン資連携のシステム化</t>
    <phoneticPr fontId="2"/>
  </si>
  <si>
    <t>ポータルサイトから登録された運用開始日をオン資へ自動連係する。</t>
    <phoneticPr fontId="2"/>
  </si>
  <si>
    <t>■起票背景
ポータルサイトから登録された運用開始日は、現在、基金職員の手作業でオン資へ連携していることから、人為的ミスを防ぐため、システム化する。
■目的
手作業を減らして人為的ミスを防ぐ。</t>
  </si>
  <si>
    <t>運用開始日のオン資連携</t>
  </si>
  <si>
    <t>電カル共有/オン資</t>
  </si>
  <si>
    <t>■機能​
運用開始日のオン資連携システム化​　
■要求事項
ポータルサイトから登録された運用開始日をオン資へ自動連携する。
■備考
※ポータルサイトの連携用S3とオン資側のS3が連携できることが前提となるので要確認</t>
  </si>
  <si>
    <t>186</t>
  </si>
  <si>
    <t>186-1</t>
  </si>
  <si>
    <t>オン資、電処、電カルの各施設リストの抽出及び厚労省への連携のシステム化</t>
    <phoneticPr fontId="2"/>
  </si>
  <si>
    <t>「オン資・電子処方箋と共通の施設リスト」「電子カルテ情報共有サービス単独の施設リスト」の抽出及び厚労省への連携を、S3同士の連携、オン資BIツールを利用することでシステム化する。</t>
    <phoneticPr fontId="2"/>
  </si>
  <si>
    <t>■起票背景
施設リストについては、現在、基金職員の手作業で抽出していることから、人為的ミスを防ぐため、システム化する。
■目的
厚労省HPで公開されている施設リストの作成と受け渡しをシステム化する。</t>
    <phoneticPr fontId="2"/>
  </si>
  <si>
    <t>施設リストの抽出、厚労省への連携</t>
  </si>
  <si>
    <t>■機能​
施設リスト抽出のシステム化​　
■要求事項
ポータルサイトから登録された運用開始日をオン資へ連携し、医療機関マスタから抽出した医科歯科併設情報とログ等との突合を行った後、オン資のBIツールへ連携して、利用者がBIツールを用いて抽出を行う。
■備考
※ポータルサイトの連携用S3とオン資側のS3が連携できることが前提となるので要確認
※オン資のBIツールの改修が必要
※医科歯科併設情報連携の自動化が前提となるので要確認</t>
    <phoneticPr fontId="2"/>
  </si>
  <si>
    <t>187</t>
    <phoneticPr fontId="2"/>
  </si>
  <si>
    <t>187-1</t>
    <phoneticPr fontId="2"/>
  </si>
  <si>
    <t>保険医療機関（歯科）の電子カルテ情報共有サービスの利用機能拡大</t>
    <phoneticPr fontId="2"/>
  </si>
  <si>
    <r>
      <rPr>
        <sz val="11"/>
        <color rgb="FFFF0000"/>
        <rFont val="Meiryo UI"/>
        <family val="3"/>
        <charset val="128"/>
      </rPr>
      <t xml:space="preserve">2026/10/5 ACN本田
厚労省にて確認の結果、歯科の用途拡大は、診療情報提供書・歯式・臨床情報登録・患者サマリーで改修タイミングが異なるため、本案件は取り下げのうえ、別途案件起票することとする。
</t>
    </r>
    <r>
      <rPr>
        <sz val="11"/>
        <color theme="1"/>
        <rFont val="Meiryo UI"/>
        <family val="3"/>
      </rPr>
      <t xml:space="preserve">
2026/4/8 ACN本田
令和9年度案件として見積もりのために起票
(開発要否は別途検討)</t>
    </r>
    <rPh sb="13" eb="15">
      <t>ホンダ</t>
    </rPh>
    <rPh sb="115" eb="117">
      <t>ホンダ</t>
    </rPh>
    <rPh sb="118" eb="120">
      <t>レイワ</t>
    </rPh>
    <rPh sb="121" eb="123">
      <t>ネンド</t>
    </rPh>
    <rPh sb="123" eb="125">
      <t>アンケン</t>
    </rPh>
    <rPh sb="128" eb="130">
      <t>ミツ</t>
    </rPh>
    <rPh sb="136" eb="138">
      <t>キヒョウ</t>
    </rPh>
    <rPh sb="140" eb="142">
      <t>カイハツ</t>
    </rPh>
    <rPh sb="142" eb="144">
      <t>ヨウヒ</t>
    </rPh>
    <rPh sb="145" eb="147">
      <t>ベット</t>
    </rPh>
    <rPh sb="147" eb="149">
      <t>ケントウ</t>
    </rPh>
    <phoneticPr fontId="2"/>
  </si>
  <si>
    <t>保険医療機関（歯科）においても保険医療機関（医科）と同様の機能が利用できるようにする。</t>
    <phoneticPr fontId="2"/>
  </si>
  <si>
    <t>本サービス全体</t>
    <phoneticPr fontId="2"/>
  </si>
  <si>
    <t>■要求事項
保険医療機関（歯科）において、「保険医療機関（医科）健診実施」に該当する施設と同様の機能が利用できるように改修する。_x000B_
※保険医療機関（歯科）が文書情報の登録・取得（電子署名・署名検証含む）、臨床情報の登録を行えるように改修するにあたり、「既存の医科歯科併設医療機関の取り扱い仕様（宛先検索、医療機関等マスタの内容、医療機関番号のバリデーションチェック等）」における必要な改修も行う。
※健診文書の登録機能についての要否は今後検討であるが、2026年４－５月時点の見積もり時点では利用対象機能として見積もる。
■備考
・2026年４－５月時点の見積もり時点では、一旦、歯科情報の文書・臨床情報中での取り扱いは検討しない。</t>
    <rPh sb="0" eb="5">
      <t>シカクヨウキュウジコウ</t>
    </rPh>
    <rPh sb="263" eb="265">
      <t>ビコウ</t>
    </rPh>
    <phoneticPr fontId="2"/>
  </si>
  <si>
    <t>188</t>
    <phoneticPr fontId="2"/>
  </si>
  <si>
    <t>188-1</t>
    <phoneticPr fontId="2"/>
  </si>
  <si>
    <t>アドオンチェック</t>
    <phoneticPr fontId="2"/>
  </si>
  <si>
    <t>「検査結果の評価」に係る制御の修正</t>
    <rPh sb="1" eb="3">
      <t>ケンサ</t>
    </rPh>
    <rPh sb="3" eb="5">
      <t>ケッカ</t>
    </rPh>
    <rPh sb="6" eb="8">
      <t>ヒョウカ</t>
    </rPh>
    <rPh sb="10" eb="11">
      <t>カカ</t>
    </rPh>
    <rPh sb="12" eb="14">
      <t>セイギョ</t>
    </rPh>
    <rPh sb="15" eb="17">
      <t>シュウセイ</t>
    </rPh>
    <phoneticPr fontId="2"/>
  </si>
  <si>
    <r>
      <rPr>
        <sz val="11"/>
        <color rgb="FFFF0000"/>
        <rFont val="Meiryo UI"/>
        <family val="3"/>
        <charset val="128"/>
      </rPr>
      <t>2026/8/10 ACN黒川
(リリース希望時期綺麗化作業)リリース希望時期を「令和8年度秋」から「取り下げ」に変更。</t>
    </r>
    <r>
      <rPr>
        <sz val="11"/>
        <color theme="1"/>
        <rFont val="Meiryo UI"/>
        <family val="3"/>
      </rPr>
      <t xml:space="preserve">
2026/5/15 ACN本田
アドオンチェック不変107は健診文書のチェックのみであったため、本案件は取り下げとする。
2026/4/30 ACN本田
大江先生との調整の結果、要求事項は対応案Aで進めることとなったため、要求事項及び調整状況を赤字で修正。
2026/4/9 ACN黒川
令和8年度秋案件として起票</t>
    </r>
    <rPh sb="75" eb="77">
      <t>ホンダ</t>
    </rPh>
    <rPh sb="86" eb="88">
      <t>フヘン</t>
    </rPh>
    <rPh sb="92" eb="94">
      <t>ケンシン</t>
    </rPh>
    <rPh sb="94" eb="96">
      <t>ブンショ</t>
    </rPh>
    <rPh sb="110" eb="111">
      <t>ホン</t>
    </rPh>
    <rPh sb="111" eb="113">
      <t>アンケン</t>
    </rPh>
    <rPh sb="114" eb="115">
      <t>ト</t>
    </rPh>
    <rPh sb="116" eb="117">
      <t>サ</t>
    </rPh>
    <rPh sb="137" eb="139">
      <t>ホンダ</t>
    </rPh>
    <rPh sb="140" eb="144">
      <t>オオエセンセイ</t>
    </rPh>
    <rPh sb="146" eb="148">
      <t>チョウセイ</t>
    </rPh>
    <rPh sb="149" eb="151">
      <t>ケッカ</t>
    </rPh>
    <rPh sb="152" eb="156">
      <t>ヨウキュウジコウ</t>
    </rPh>
    <rPh sb="157" eb="159">
      <t>タイオウ</t>
    </rPh>
    <rPh sb="159" eb="160">
      <t>アン</t>
    </rPh>
    <rPh sb="162" eb="163">
      <t>スス</t>
    </rPh>
    <rPh sb="174" eb="176">
      <t>ヨウキュウ</t>
    </rPh>
    <rPh sb="176" eb="178">
      <t>ジコウ</t>
    </rPh>
    <rPh sb="178" eb="179">
      <t>オヨ</t>
    </rPh>
    <rPh sb="180" eb="182">
      <t>チョウセイ</t>
    </rPh>
    <rPh sb="182" eb="184">
      <t>ジョウキョウ</t>
    </rPh>
    <rPh sb="185" eb="187">
      <t>アカジ</t>
    </rPh>
    <rPh sb="188" eb="190">
      <t>シュウセイ</t>
    </rPh>
    <rPh sb="205" eb="207">
      <t>クロカワ</t>
    </rPh>
    <rPh sb="208" eb="210">
      <t>レイワ</t>
    </rPh>
    <rPh sb="211" eb="213">
      <t>ネンド</t>
    </rPh>
    <rPh sb="213" eb="214">
      <t>アキ</t>
    </rPh>
    <rPh sb="214" eb="216">
      <t>アンケン</t>
    </rPh>
    <rPh sb="219" eb="221">
      <t>キヒョウ</t>
    </rPh>
    <phoneticPr fontId="2"/>
  </si>
  <si>
    <t>検査結果の基準値に設定した上限値・下限値に境界点が含まれない場合も本サービスへ登録できるようにする。</t>
    <rPh sb="21" eb="23">
      <t>キョウカイ</t>
    </rPh>
    <rPh sb="23" eb="24">
      <t>テン</t>
    </rPh>
    <phoneticPr fontId="2"/>
  </si>
  <si>
    <t>■起票背景
・アドオンチェック#128において、「検査結果値が下限値（referenceRange.low.value）を下回り、結果解釈コードに“L”が設定されていない、もしくは項目値が上限値（referenceRange.high.value）を上回り、結果解釈コードに“H”が設定されていない、もしくは項目値が範囲内で結果解釈コードに“N”以外が記録されている場合、エラーとする。」という制御をかけている。
・一方で、医療機関において基準値が1未満であった場合、「検査結果＝1.0、評価＝H」と登録するとエラーとなる。
■目的
・医療機関の基準値の考え方に合わせて検査結果の評価を登録できるようにする
（例：医療機関において基準値が1未満であった場合、「検査結果＝1.0・評価＝H」と登録可能とする）</t>
    <phoneticPr fontId="2"/>
  </si>
  <si>
    <r>
      <t>大江先生：</t>
    </r>
    <r>
      <rPr>
        <sz val="11"/>
        <color rgb="FFFF0000"/>
        <rFont val="Meiryo UI"/>
        <family val="3"/>
        <charset val="128"/>
      </rPr>
      <t>調整済み</t>
    </r>
    <rPh sb="0" eb="4">
      <t>オオエセンセイ</t>
    </rPh>
    <rPh sb="5" eb="7">
      <t>チョウセイ</t>
    </rPh>
    <rPh sb="7" eb="8">
      <t>ズ</t>
    </rPh>
    <phoneticPr fontId="2"/>
  </si>
  <si>
    <t>アドオンチェック不変107は健診文書のチェックのみであったため、本案件は取り下げとする。</t>
    <phoneticPr fontId="2"/>
  </si>
  <si>
    <t>検査結果の登録</t>
    <rPh sb="0" eb="2">
      <t>ケンサ</t>
    </rPh>
    <rPh sb="2" eb="4">
      <t>ケッカ</t>
    </rPh>
    <rPh sb="5" eb="7">
      <t>トウロク</t>
    </rPh>
    <phoneticPr fontId="2"/>
  </si>
  <si>
    <r>
      <t xml:space="preserve">■要求事項
</t>
    </r>
    <r>
      <rPr>
        <b/>
        <sz val="11"/>
        <color theme="1"/>
        <rFont val="Meiryo UI"/>
        <family val="3"/>
        <charset val="128"/>
      </rPr>
      <t xml:space="preserve">対応案A：アドオンチェック#128を削除し、プロファイルのベースチェック上の制約を追加する。
</t>
    </r>
    <r>
      <rPr>
        <strike/>
        <sz val="11"/>
        <color rgb="FFFF0000"/>
        <rFont val="Meiryo UI"/>
        <family val="3"/>
        <charset val="128"/>
      </rPr>
      <t xml:space="preserve">　　　　　　　※ベースチェックの追加は大江先生と要調整
対応案B：アドオンチェック#128のチェックを、以下の内容に変更する。
　以下の場合にエラーとする。ただし、未実施もしくは測定不可の場合はチェックしない。
　・項目値が下限値（referenceRange.low.value）を下回り、結果解釈コードに“L”が設定されていない
　・項目値が上限値（referenceRange.high.value）を上回り、結果解釈コードに“H”が設定されていない
　・項目値が範囲内（※）で結果解釈コードに“N”以外が記録されている
 　　※検査結果値＝境界値（下限値または上限値）の場合においては、以下のとおりとする。
　　　・検査結果値＝下限値の場合、結果解釈コードに“L”が入ってもよい
　　  ・検査結果値＝上限値の場合、結果解釈コードに“H”が入ってもよい
</t>
    </r>
    <r>
      <rPr>
        <sz val="11"/>
        <color theme="1"/>
        <rFont val="Meiryo UI"/>
        <family val="3"/>
      </rPr>
      <t xml:space="preserve">
■備考
・対応方針は、大江先生にヒアリングを実施し、FHIRの思想を確認したうえで進める
→</t>
    </r>
    <r>
      <rPr>
        <sz val="11"/>
        <color rgb="FFFF0000"/>
        <rFont val="Meiryo UI"/>
        <family val="3"/>
        <charset val="128"/>
      </rPr>
      <t>調整の結果対応案Aで進めることとなった。</t>
    </r>
    <rPh sb="42" eb="43">
      <t>ジョウ</t>
    </rPh>
    <rPh sb="69" eb="71">
      <t>ツイカ</t>
    </rPh>
    <rPh sb="72" eb="74">
      <t>オオエ</t>
    </rPh>
    <rPh sb="74" eb="76">
      <t>センセイ</t>
    </rPh>
    <rPh sb="77" eb="78">
      <t>ヨウ</t>
    </rPh>
    <rPh sb="78" eb="80">
      <t>チョウセイ</t>
    </rPh>
    <rPh sb="436" eb="438">
      <t>ビコウ</t>
    </rPh>
    <rPh sb="481" eb="483">
      <t>チョウセイ</t>
    </rPh>
    <rPh sb="484" eb="486">
      <t>ケッカ</t>
    </rPh>
    <rPh sb="486" eb="488">
      <t>タイオウ</t>
    </rPh>
    <rPh sb="488" eb="489">
      <t>アン</t>
    </rPh>
    <rPh sb="491" eb="492">
      <t>スス</t>
    </rPh>
    <phoneticPr fontId="2"/>
  </si>
  <si>
    <t>189</t>
    <phoneticPr fontId="2"/>
  </si>
  <si>
    <t>189_01</t>
    <phoneticPr fontId="2"/>
  </si>
  <si>
    <t>外部IF仕様書へのFHIRPath明記対応（検査・感染症領域）</t>
    <rPh sb="0" eb="2">
      <t>ガイブ</t>
    </rPh>
    <rPh sb="4" eb="7">
      <t>シヨウショ</t>
    </rPh>
    <rPh sb="17" eb="19">
      <t>メイキ</t>
    </rPh>
    <rPh sb="19" eb="21">
      <t>タイオウ</t>
    </rPh>
    <rPh sb="22" eb="24">
      <t>ケンサ</t>
    </rPh>
    <rPh sb="25" eb="28">
      <t>カンセンショウ</t>
    </rPh>
    <rPh sb="28" eb="30">
      <t>リョウイキ</t>
    </rPh>
    <phoneticPr fontId="2"/>
  </si>
  <si>
    <t>2026/5/15　基金天野
支払基金としては、NTTデータ様から富士通様への外部IFのXMLにおいてFHIRPathが整理され次第、富士通様側での対応が可能であるとの認識でおります。
　そのため、本件について現時点では案件化を取り下げ。
2026/4/30 基金熊田
令和8年度案件として起票</t>
    <rPh sb="10" eb="12">
      <t>キキン</t>
    </rPh>
    <rPh sb="12" eb="14">
      <t>アマノ</t>
    </rPh>
    <rPh sb="33" eb="36">
      <t>フジツウ</t>
    </rPh>
    <rPh sb="36" eb="37">
      <t>サマ</t>
    </rPh>
    <rPh sb="67" eb="71">
      <t>フジツウサマ</t>
    </rPh>
    <rPh sb="114" eb="115">
      <t>ト</t>
    </rPh>
    <rPh sb="116" eb="117">
      <t>サ</t>
    </rPh>
    <rPh sb="133" eb="135">
      <t>クマタ</t>
    </rPh>
    <phoneticPr fontId="2"/>
  </si>
  <si>
    <t>基金熊田</t>
    <rPh sb="0" eb="4">
      <t>キキンクマタ</t>
    </rPh>
    <phoneticPr fontId="2"/>
  </si>
  <si>
    <t>検査・感染症領域において、外部IF仕様書へのFHIRPath明記対応を行う。</t>
    <rPh sb="35" eb="36">
      <t>オコナ</t>
    </rPh>
    <phoneticPr fontId="2"/>
  </si>
  <si>
    <t>技術解説書P.69に記載されているFHIRPathと、実装・外部IF仕様との間に齟齬が発生した。
現行仕様では、外部IF仕様書上にFHIRPathの記載がなく、解釈に依存した実装となる余地があり、結果としてベンダー間での認識差異および不整合が生じるリスクがある。</t>
    <phoneticPr fontId="2"/>
  </si>
  <si>
    <t>外部IF仕様書にFHIRPathを明記することで、
•実装解釈の統一
•ベンダー間の認識齟齬の防止
•将来的な不具合・手戻りの抑止
を図る。</t>
    <phoneticPr fontId="2"/>
  </si>
  <si>
    <t>■体制・役割
•基金：要件整理・仕様確定・レビュー
•富士通：仕様書改訂対応、影響調査、必要に応じた実装修正
■スケジュール（案）
•案件起票：完了
•見積取得：富士通へ依頼
•要件確定：見積後確定
•改修対応：別途調整
■依頼事項（富士通向け）
•外部IF仕様書へのFHIRPath記載に関する対応見積の提示
•影響範囲（既存IF・実装）の調査
•改修が必要な場合の対応方針提示</t>
    <phoneticPr fontId="2"/>
  </si>
  <si>
    <t>令和8年度3月</t>
    <rPh sb="0" eb="2">
      <t>レイワ</t>
    </rPh>
    <rPh sb="3" eb="5">
      <t>ネンド</t>
    </rPh>
    <rPh sb="6" eb="7">
      <t>ガツ</t>
    </rPh>
    <phoneticPr fontId="2"/>
  </si>
  <si>
    <t>•検査情報
•感染症情報
（※FHIRPathが関与する外部IF仕様全般）</t>
    <phoneticPr fontId="2"/>
  </si>
  <si>
    <t>•検査・感染症領域における外部IF仕様書に対し、FHIRPathを明示的に記載する
•技術解説書との整合性を確認し、必要に応じて表記ルールの統一を実施
•対象項目の洗い出しおよびFHIRPath定義の整理
•既存実装および関連IFへの影響範囲の確認</t>
    <phoneticPr fontId="2"/>
  </si>
  <si>
    <t>■成果物
•外部IF仕様書改訂版（FHIRPath追記）
•FHIRPath定義一覧（必要に応じて別紙化）</t>
    <phoneticPr fontId="2"/>
  </si>
  <si>
    <t>190</t>
    <phoneticPr fontId="2"/>
  </si>
  <si>
    <t>190-1</t>
    <phoneticPr fontId="2"/>
  </si>
  <si>
    <t>健診文書の登録・更新時における、「提供の同意」チェックの変更</t>
    <rPh sb="28" eb="30">
      <t>ヘンコウ</t>
    </rPh>
    <phoneticPr fontId="2"/>
  </si>
  <si>
    <t>2026/5/26 ACN箕輪
令和8年度秋案件として起票</t>
    <rPh sb="13" eb="15">
      <t>ミノワ</t>
    </rPh>
    <phoneticPr fontId="2"/>
  </si>
  <si>
    <t>ACN箕輪</t>
    <rPh sb="3" eb="5">
      <t>ミノワ</t>
    </rPh>
    <phoneticPr fontId="2"/>
  </si>
  <si>
    <t>健診文書登録および更新時に、全ての健診種別において「提供の同意」で同意情報がない場合にエラーとする。</t>
    <rPh sb="0" eb="6">
      <t>ケンシンブンショトウロク</t>
    </rPh>
    <rPh sb="9" eb="12">
      <t>コウシンジ</t>
    </rPh>
    <rPh sb="14" eb="15">
      <t>スベ</t>
    </rPh>
    <rPh sb="17" eb="19">
      <t>ケンシン</t>
    </rPh>
    <rPh sb="19" eb="21">
      <t>シュベツ</t>
    </rPh>
    <rPh sb="26" eb="28">
      <t>テイキョウ</t>
    </rPh>
    <rPh sb="29" eb="31">
      <t>ドウイ</t>
    </rPh>
    <rPh sb="33" eb="35">
      <t>ドウイ</t>
    </rPh>
    <rPh sb="35" eb="37">
      <t>ジョウホウ</t>
    </rPh>
    <rPh sb="40" eb="42">
      <t>バアイ</t>
    </rPh>
    <phoneticPr fontId="2"/>
  </si>
  <si>
    <t xml:space="preserve">■起票背景
・モデル事業における健診機関へのヒアリングの結果、健診データを電子カルテ共有側で定められた健診種別どおりに分類して送付することが困難であることが判明
・健診種別によって同意の要否が異なるため、正しい健診種別で送付できない場合、法令違反となる可能性がある
・以上を踏まえ、全ての健診種別において「提供の同意」で同意情報がない場合にエラーとする
■目的
・中央基盤の責に起因する法令違反の発生を防止するため
（中央基盤として、連携された全ての健診データについて「提供の同意」をあわせて受領することで、健診機関側で必ず同意を取得していることを前提としたデータを受領できるため）
</t>
    <rPh sb="160" eb="164">
      <t>ドウイジョウホウ</t>
    </rPh>
    <rPh sb="167" eb="169">
      <t>バアイ</t>
    </rPh>
    <phoneticPr fontId="2"/>
  </si>
  <si>
    <t>-</t>
    <phoneticPr fontId="2"/>
  </si>
  <si>
    <t>健診機関・健診ベンダー
・右記の通り影響を健診ベンダーにヒアリング予定
・健診機関的には健診種別の分類が不要になるため、調整は不要と整理
保険者・保険者ベンダー
・もともと健診種別が正しく分類されてデータ連携される想定だったため、今後のロードマップと合わせて調整が必要（9月末期限で対応予定）</t>
    <rPh sb="0" eb="4">
      <t>ケンシンキカン</t>
    </rPh>
    <rPh sb="5" eb="7">
      <t>ケンシン</t>
    </rPh>
    <rPh sb="13" eb="15">
      <t>ウキ</t>
    </rPh>
    <rPh sb="16" eb="17">
      <t>トオ</t>
    </rPh>
    <rPh sb="18" eb="20">
      <t>エイキョウ</t>
    </rPh>
    <rPh sb="21" eb="23">
      <t>ケンシン</t>
    </rPh>
    <rPh sb="33" eb="35">
      <t>ヨテイ</t>
    </rPh>
    <rPh sb="37" eb="39">
      <t>ケンシン</t>
    </rPh>
    <rPh sb="39" eb="41">
      <t>キカン</t>
    </rPh>
    <rPh sb="41" eb="42">
      <t>テキ</t>
    </rPh>
    <rPh sb="44" eb="48">
      <t>ケンシンシュベツ</t>
    </rPh>
    <rPh sb="49" eb="51">
      <t>ブンルイ</t>
    </rPh>
    <rPh sb="52" eb="54">
      <t>フヨウ</t>
    </rPh>
    <rPh sb="60" eb="62">
      <t>チョウセイ</t>
    </rPh>
    <rPh sb="63" eb="65">
      <t>フヨウ</t>
    </rPh>
    <rPh sb="66" eb="68">
      <t>セイリ</t>
    </rPh>
    <rPh sb="70" eb="73">
      <t>ホケンシャ</t>
    </rPh>
    <rPh sb="74" eb="77">
      <t>ホケンシャ</t>
    </rPh>
    <rPh sb="87" eb="91">
      <t>ケンシンシュベツ</t>
    </rPh>
    <rPh sb="92" eb="93">
      <t>タダ</t>
    </rPh>
    <rPh sb="95" eb="97">
      <t>ブンルイ</t>
    </rPh>
    <rPh sb="103" eb="105">
      <t>レンケイ</t>
    </rPh>
    <rPh sb="108" eb="110">
      <t>ソウテイ</t>
    </rPh>
    <rPh sb="116" eb="118">
      <t>コンゴ</t>
    </rPh>
    <rPh sb="126" eb="127">
      <t>ア</t>
    </rPh>
    <rPh sb="130" eb="132">
      <t>チョウセイ</t>
    </rPh>
    <rPh sb="133" eb="135">
      <t>ヒツヨウ</t>
    </rPh>
    <rPh sb="137" eb="139">
      <t>ガツマツ</t>
    </rPh>
    <rPh sb="139" eb="141">
      <t>キゲン</t>
    </rPh>
    <rPh sb="142" eb="146">
      <t>タイオウヨテイ</t>
    </rPh>
    <phoneticPr fontId="2"/>
  </si>
  <si>
    <t>全健診ベンダーに対して、以下影響確認を実施中。（6/1期限）
・全健診データを健診種別6で送るよう変更する場合、どんな改修が必要になるか。
既にいくつかのベンダーについては、健診コースと健診種別のマッピング表の変更（設定変更）のみで対応できることを確認している。</t>
    <rPh sb="0" eb="3">
      <t>ゼンケンシン</t>
    </rPh>
    <rPh sb="8" eb="9">
      <t>タイ</t>
    </rPh>
    <rPh sb="12" eb="18">
      <t>イカエイキョウカクニン</t>
    </rPh>
    <rPh sb="19" eb="22">
      <t>ジッシチュウ</t>
    </rPh>
    <rPh sb="27" eb="29">
      <t>キゲン</t>
    </rPh>
    <rPh sb="32" eb="35">
      <t>ゼンケンシン</t>
    </rPh>
    <rPh sb="39" eb="43">
      <t>ケンシンシュベツ</t>
    </rPh>
    <rPh sb="45" eb="46">
      <t>オク</t>
    </rPh>
    <rPh sb="49" eb="51">
      <t>ヘンコウ</t>
    </rPh>
    <rPh sb="53" eb="55">
      <t>バアイ</t>
    </rPh>
    <rPh sb="59" eb="61">
      <t>カイシュウ</t>
    </rPh>
    <rPh sb="62" eb="64">
      <t>ヒツヨウ</t>
    </rPh>
    <rPh sb="71" eb="72">
      <t>スデ</t>
    </rPh>
    <rPh sb="88" eb="90">
      <t>ケンシン</t>
    </rPh>
    <rPh sb="94" eb="98">
      <t>ケンシンシュベツ</t>
    </rPh>
    <rPh sb="104" eb="105">
      <t>ヒョウ</t>
    </rPh>
    <rPh sb="106" eb="108">
      <t>ヘンコウ</t>
    </rPh>
    <rPh sb="109" eb="113">
      <t>セッテイヘンコウ</t>
    </rPh>
    <rPh sb="117" eb="119">
      <t>タイオウ</t>
    </rPh>
    <rPh sb="125" eb="127">
      <t>カクニン</t>
    </rPh>
    <phoneticPr fontId="2"/>
  </si>
  <si>
    <t>健診情報の登録</t>
    <rPh sb="0" eb="4">
      <t>ケンシンジョウホウ</t>
    </rPh>
    <rPh sb="5" eb="7">
      <t>トウロク</t>
    </rPh>
    <phoneticPr fontId="2"/>
  </si>
  <si>
    <r>
      <t>■機能
アドオンチェック
＜対象IF＞
・健診文書登録要求
・健診文書変更要求
■要求事項
全ての健診種別において同意提供ありで登録していない場合はアドオンチェックでエラーとする
＜変更内容＞
現在：
・健診種別6(保険者以外が行う特定健診等に相当する健診)の場合に健診文書登録要求ファイル/変更要求ファイルに「提供の同意」が未設定、もしくは"0"（同意なし）の場合、エラーとする（アドオンチェック不変#15）
変更後：
・</t>
    </r>
    <r>
      <rPr>
        <b/>
        <sz val="11"/>
        <color theme="1"/>
        <rFont val="Meiryo UI"/>
        <family val="3"/>
        <charset val="128"/>
      </rPr>
      <t>健診種別1-6全ての健診種別において</t>
    </r>
    <r>
      <rPr>
        <sz val="11"/>
        <color theme="1"/>
        <rFont val="Meiryo UI"/>
        <family val="3"/>
        <charset val="128"/>
      </rPr>
      <t>健診文書登録要求ファイル/変更要求ファイル</t>
    </r>
    <r>
      <rPr>
        <sz val="11"/>
        <color theme="1"/>
        <rFont val="Meiryo UI"/>
        <family val="3"/>
      </rPr>
      <t xml:space="preserve">に「提供の同意」が提供の同意が未設定、もしくは"0"（同意なし）の場合、エラーとする
</t>
    </r>
    <rPh sb="1" eb="3">
      <t>キノウ</t>
    </rPh>
    <rPh sb="41" eb="46">
      <t>シカクヨウキュウジコウ</t>
    </rPh>
    <rPh sb="58" eb="60">
      <t>ドウイ</t>
    </rPh>
    <rPh sb="60" eb="62">
      <t>テイキョウ</t>
    </rPh>
    <rPh sb="65" eb="67">
      <t>トウロク</t>
    </rPh>
    <rPh sb="72" eb="74">
      <t>バアイ</t>
    </rPh>
    <rPh sb="93" eb="97">
      <t>ヘンコウナイヨウ</t>
    </rPh>
    <rPh sb="99" eb="101">
      <t>ゲンザイ</t>
    </rPh>
    <rPh sb="104" eb="108">
      <t>ケンシンシュベツ</t>
    </rPh>
    <rPh sb="132" eb="134">
      <t>バアイ</t>
    </rPh>
    <rPh sb="135" eb="137">
      <t>ケンシン</t>
    </rPh>
    <rPh sb="137" eb="139">
      <t>ブンショ</t>
    </rPh>
    <rPh sb="139" eb="141">
      <t>トウロク</t>
    </rPh>
    <rPh sb="141" eb="143">
      <t>ヨウキュウ</t>
    </rPh>
    <rPh sb="148" eb="150">
      <t>ヘンコウ</t>
    </rPh>
    <rPh sb="150" eb="152">
      <t>ヨウキュウ</t>
    </rPh>
    <rPh sb="201" eb="203">
      <t>フヘン</t>
    </rPh>
    <rPh sb="208" eb="211">
      <t>ヘンコウゴ</t>
    </rPh>
    <rPh sb="221" eb="222">
      <t>スベ</t>
    </rPh>
    <rPh sb="224" eb="226">
      <t>ケンシン</t>
    </rPh>
    <rPh sb="226" eb="228">
      <t>シュベツ</t>
    </rPh>
    <phoneticPr fontId="2"/>
  </si>
  <si>
    <t>191</t>
  </si>
  <si>
    <t>191-1</t>
  </si>
  <si>
    <t>臨床情報:感染症・検査</t>
  </si>
  <si>
    <t>臨床情報における各リソースNoごとの登録医療機関名出力修正</t>
    <phoneticPr fontId="2"/>
  </si>
  <si>
    <t>2026/7/8　支払基金天野
（更新履歴の修正）ID141においても登録医療機関名の出力は各リソースごとに対応しない
2026/6/23　支払基金天野
ID141にて対応することになったため、取り下げ。
（2026/06/22開発課題検討会にて合意）
2026/5/29 基金内田
令和8年度3月リリース案件として起票</t>
    <rPh sb="9" eb="13">
      <t>シハライキキン</t>
    </rPh>
    <rPh sb="13" eb="15">
      <t>アマノ</t>
    </rPh>
    <rPh sb="17" eb="21">
      <t>コウシンリレキ</t>
    </rPh>
    <rPh sb="22" eb="24">
      <t>シュウセイ</t>
    </rPh>
    <rPh sb="35" eb="42">
      <t>トウロクイリョウキカンメイ</t>
    </rPh>
    <rPh sb="43" eb="45">
      <t>シュツリョク</t>
    </rPh>
    <rPh sb="46" eb="47">
      <t>カク</t>
    </rPh>
    <rPh sb="54" eb="56">
      <t>タイオウ</t>
    </rPh>
    <rPh sb="71" eb="75">
      <t>シハライキキン</t>
    </rPh>
    <rPh sb="75" eb="77">
      <t>アマノ</t>
    </rPh>
    <rPh sb="85" eb="87">
      <t>タイオウ</t>
    </rPh>
    <rPh sb="98" eb="99">
      <t>ト</t>
    </rPh>
    <rPh sb="100" eb="101">
      <t>サ</t>
    </rPh>
    <rPh sb="115" eb="122">
      <t>カイハツカダイケントウカイ</t>
    </rPh>
    <rPh sb="124" eb="126">
      <t>ゴウイ</t>
    </rPh>
    <phoneticPr fontId="2"/>
  </si>
  <si>
    <t>基金内田</t>
  </si>
  <si>
    <t>臨床情報の出力において、各リソースNoごとの登録医療機関名の出力仕様を、技術解説書の記載内容に準拠するよう修正する。</t>
    <phoneticPr fontId="2"/>
  </si>
  <si>
    <t>技術解説書2.0.0版（P.69）に記載されているFHIRPathと、実装・外部IF仕様との間に齟齬が発生した。
技術解説書では、臨床情報における登録医療機関名は「各リソースNoごと」に設定された値をFHIRPathで取得する仕様となっている。
一方、現行実装では、臨床情報IDの先頭10桁に含まれる医療機関コードに紐づく医療機関名を一律で出力している。</t>
    <phoneticPr fontId="2"/>
  </si>
  <si>
    <t>•技術解説書との整合性確保
•新旧医療機関混在時における正確な情報表示
•利用者の誤認防止</t>
  </si>
  <si>
    <t>富士通</t>
  </si>
  <si>
    <t>なし</t>
  </si>
  <si>
    <t>不要</t>
  </si>
  <si>
    <t>検査情報、感染症情報、薬剤アレルギー、その他アレルギー、傷病名</t>
  </si>
  <si>
    <t>オン資</t>
  </si>
  <si>
    <t>アドオンチェック改修により新旧医療機関名の混在が可能となることを踏まえ、
登録医療機関名の取得方法を以下のとおり修正する。
•（現行）臨床情報ID先頭10桁の医療機関コードに紐づく医療機関名を出力
•（修正後）各リソースNoごとに保持されている登録医療機関名をFHIRPathに従い取得・出力</t>
    <phoneticPr fontId="2"/>
  </si>
  <si>
    <t>192</t>
    <phoneticPr fontId="2"/>
  </si>
  <si>
    <t>192-1</t>
    <phoneticPr fontId="2"/>
  </si>
  <si>
    <r>
      <rPr>
        <sz val="11"/>
        <color rgb="FFFF0000"/>
        <rFont val="Meiryo UI"/>
        <family val="3"/>
        <charset val="128"/>
      </rPr>
      <t xml:space="preserve">2026/10/5 ACN本田
案件名称が適切ではなかったため、案件名称を修正
</t>
    </r>
    <r>
      <rPr>
        <sz val="11"/>
        <rFont val="Meiryo UI"/>
        <family val="3"/>
        <charset val="128"/>
      </rPr>
      <t xml:space="preserve">
2026/6/1 ACN本田
令和8年度3月リリース案件として起票</t>
    </r>
    <rPh sb="13" eb="15">
      <t>ホンダ</t>
    </rPh>
    <rPh sb="16" eb="18">
      <t>アンケン</t>
    </rPh>
    <rPh sb="18" eb="20">
      <t>メイショウ</t>
    </rPh>
    <rPh sb="21" eb="23">
      <t>テキセツ</t>
    </rPh>
    <rPh sb="32" eb="34">
      <t>アンケン</t>
    </rPh>
    <rPh sb="34" eb="36">
      <t>メイショウ</t>
    </rPh>
    <rPh sb="37" eb="39">
      <t>シュウセイ</t>
    </rPh>
    <rPh sb="53" eb="55">
      <t>ホンダ</t>
    </rPh>
    <rPh sb="56" eb="58">
      <t>レイワ</t>
    </rPh>
    <rPh sb="59" eb="61">
      <t>ネンド</t>
    </rPh>
    <rPh sb="62" eb="63">
      <t>ガツ</t>
    </rPh>
    <rPh sb="67" eb="69">
      <t>アンケン</t>
    </rPh>
    <rPh sb="72" eb="74">
      <t>キヒョウ</t>
    </rPh>
    <phoneticPr fontId="2"/>
  </si>
  <si>
    <t>サポートするプロファイルバージョンを一部終了する。
CLINS：1.10.0、1.11.0
健診：1.5.0</t>
    <phoneticPr fontId="2"/>
  </si>
  <si>
    <t>■起票背景
・モデル事業の検証の中で、プロファイルの不備を検知した。
・また、モデル事業の検証の中で生じた課題に対する解決をするためにプロファイルの一部更新があった
■目的
・モデル事業の検証の中でプロファイルの不備を検視したバージョンについて、システム的に利用終了とする</t>
    <rPh sb="10" eb="12">
      <t>ジギョウ</t>
    </rPh>
    <rPh sb="13" eb="15">
      <t>ケンショウ</t>
    </rPh>
    <rPh sb="16" eb="17">
      <t>ナカ</t>
    </rPh>
    <rPh sb="26" eb="28">
      <t>フビ</t>
    </rPh>
    <rPh sb="29" eb="31">
      <t>ケンチ</t>
    </rPh>
    <rPh sb="42" eb="44">
      <t>ジギョウ</t>
    </rPh>
    <rPh sb="45" eb="47">
      <t>ケンショウ</t>
    </rPh>
    <rPh sb="48" eb="49">
      <t>ナカ</t>
    </rPh>
    <rPh sb="50" eb="51">
      <t>ショウ</t>
    </rPh>
    <rPh sb="53" eb="55">
      <t>カダイ</t>
    </rPh>
    <rPh sb="56" eb="57">
      <t>タイ</t>
    </rPh>
    <rPh sb="59" eb="61">
      <t>カイケツ</t>
    </rPh>
    <rPh sb="74" eb="76">
      <t>イチブ</t>
    </rPh>
    <rPh sb="76" eb="78">
      <t>コウシン</t>
    </rPh>
    <rPh sb="92" eb="94">
      <t>ジギョウ</t>
    </rPh>
    <rPh sb="95" eb="97">
      <t>ケンショウ</t>
    </rPh>
    <rPh sb="98" eb="99">
      <t>ナカ</t>
    </rPh>
    <rPh sb="107" eb="109">
      <t>フビ</t>
    </rPh>
    <rPh sb="110" eb="112">
      <t>ケンシ</t>
    </rPh>
    <rPh sb="128" eb="129">
      <t>テキ</t>
    </rPh>
    <rPh sb="130" eb="132">
      <t>リヨウ</t>
    </rPh>
    <rPh sb="132" eb="134">
      <t>シュウリョウ</t>
    </rPh>
    <phoneticPr fontId="2"/>
  </si>
  <si>
    <t>システムベンダ：ONS周知済み(R8.1)</t>
    <rPh sb="11" eb="13">
      <t>シュウチ</t>
    </rPh>
    <rPh sb="13" eb="14">
      <t>ズ</t>
    </rPh>
    <phoneticPr fontId="2"/>
  </si>
  <si>
    <t>あり</t>
    <phoneticPr fontId="2"/>
  </si>
  <si>
    <t>電カル共有</t>
  </si>
  <si>
    <t>■機能：すべて
■内容：
以下のプロファイルのバージョンをシステム的に利用終了とする。
CLINS：1.10.0、1.11.0
健診：1.5.0
■備考
CLINS　1.12.0についてはモデルベンダの改修スケジュールを考慮し、R9年度の改修に合わせて利用終了とする</t>
    <rPh sb="1" eb="3">
      <t>キノウ</t>
    </rPh>
    <rPh sb="9" eb="11">
      <t>ナイヨウ</t>
    </rPh>
    <rPh sb="13" eb="15">
      <t>イカ</t>
    </rPh>
    <rPh sb="33" eb="34">
      <t>テキ</t>
    </rPh>
    <rPh sb="35" eb="39">
      <t>リヨウシュウリョウ</t>
    </rPh>
    <rPh sb="64" eb="66">
      <t>ケンシン</t>
    </rPh>
    <rPh sb="75" eb="77">
      <t>ビコウ</t>
    </rPh>
    <rPh sb="102" eb="104">
      <t>カイシュウ</t>
    </rPh>
    <rPh sb="111" eb="113">
      <t>コウリョ</t>
    </rPh>
    <rPh sb="117" eb="119">
      <t>ネンド</t>
    </rPh>
    <rPh sb="120" eb="122">
      <t>カイシュウ</t>
    </rPh>
    <rPh sb="123" eb="124">
      <t>ア</t>
    </rPh>
    <rPh sb="127" eb="129">
      <t>リヨウ</t>
    </rPh>
    <rPh sb="129" eb="131">
      <t>シュウリョウ</t>
    </rPh>
    <phoneticPr fontId="2"/>
  </si>
  <si>
    <t>193</t>
    <phoneticPr fontId="2"/>
  </si>
  <si>
    <t>193-1</t>
    <phoneticPr fontId="2"/>
  </si>
  <si>
    <t>臨床情報の帳票レイアウトの傷病名(告知状況)の表示修正</t>
    <phoneticPr fontId="2"/>
  </si>
  <si>
    <t>2026/6/19 ACN黒川
12月リリースでの対応が間に合わないことを受け、要求事項を一部削除
&lt;削除内容&gt;
「患者共有済み」項目の配置は、登録医療機関名の右側とする
　　(※感染症情報の「患者共有済み」項目の配置とそろえる。)
2026/6/12 ACN本田
要求事項を一部追記
&lt;追記内容&gt;
「患者共有済み」項目の配置は、登録医療機関名の右側とする_x000B_　　(※感染症情報の「患者共有済み」項目の配置とそろえる。)
2026/6/10 ACN本田
令和8年度12月リリース案件として起票</t>
    <rPh sb="13" eb="15">
      <t>クロカワ</t>
    </rPh>
    <rPh sb="18" eb="19">
      <t>ガツ</t>
    </rPh>
    <rPh sb="25" eb="27">
      <t>タイオウ</t>
    </rPh>
    <rPh sb="28" eb="29">
      <t>マ</t>
    </rPh>
    <rPh sb="30" eb="31">
      <t>ア</t>
    </rPh>
    <rPh sb="37" eb="38">
      <t>ウ</t>
    </rPh>
    <rPh sb="40" eb="42">
      <t>ヨウキュウ</t>
    </rPh>
    <rPh sb="42" eb="44">
      <t>ジコウ</t>
    </rPh>
    <rPh sb="45" eb="47">
      <t>イチブ</t>
    </rPh>
    <rPh sb="47" eb="49">
      <t>サクジョ</t>
    </rPh>
    <rPh sb="51" eb="53">
      <t>サクジョ</t>
    </rPh>
    <rPh sb="131" eb="133">
      <t>ホンダ</t>
    </rPh>
    <rPh sb="134" eb="136">
      <t>ヨウキュウ</t>
    </rPh>
    <rPh sb="136" eb="138">
      <t>ジコウ</t>
    </rPh>
    <rPh sb="139" eb="141">
      <t>イチブ</t>
    </rPh>
    <rPh sb="141" eb="143">
      <t>ツイキ</t>
    </rPh>
    <rPh sb="145" eb="147">
      <t>ツイキ</t>
    </rPh>
    <rPh sb="147" eb="149">
      <t>ナイヨウ</t>
    </rPh>
    <rPh sb="225" eb="227">
      <t>ホンダ</t>
    </rPh>
    <rPh sb="228" eb="230">
      <t>レイワ</t>
    </rPh>
    <rPh sb="231" eb="233">
      <t>ネンド</t>
    </rPh>
    <rPh sb="235" eb="236">
      <t>ガツ</t>
    </rPh>
    <rPh sb="240" eb="242">
      <t>アンケン</t>
    </rPh>
    <rPh sb="245" eb="247">
      <t>キヒョウ</t>
    </rPh>
    <phoneticPr fontId="2"/>
  </si>
  <si>
    <t>臨床情報の帳票レイアウトの傷病名(告知状況)の表示を修正する</t>
    <rPh sb="26" eb="28">
      <t>シュウセイ</t>
    </rPh>
    <phoneticPr fontId="2"/>
  </si>
  <si>
    <t>■起票背景
・傷病名は医師等が患者に共有すると判断した情報に限り共有する。また感染症においても、医師等が患者に共有してよい状態であることを判断したうえで患者のマイナポータルへ表示する。
・技術解説書では、医師等が「患者共有済みボタン」を押下する(傷病名においてはConditionリソースに未告知フラグなし、感染症においてはObservationリソースに患者共有フラグありで本サービスに送信する)、患者のマイナポータルへ表示されるような実装のイメージであると示している。
■目的
・患者のマイナポータルで表示されるか否かを示す項目について、傷病名・感染症それぞれの情報において表示の仕方や項目名称が異なるため、見間違いが生じないように項目名称を統一させる。</t>
    <rPh sb="1" eb="3">
      <t>キヒョウ</t>
    </rPh>
    <rPh sb="3" eb="5">
      <t>ハイケイ</t>
    </rPh>
    <rPh sb="98" eb="99">
      <t>ショ</t>
    </rPh>
    <rPh sb="239" eb="241">
      <t>モクテキ</t>
    </rPh>
    <phoneticPr fontId="2"/>
  </si>
  <si>
    <t>患者のマイナポータルで表示されるか否かを示す項目について、傷病名・感染症それぞれの情報において表示の仕方や項目名称が一致し、把握しやすくなる</t>
    <rPh sb="58" eb="60">
      <t>イッチ</t>
    </rPh>
    <rPh sb="62" eb="64">
      <t>ハアク</t>
    </rPh>
    <phoneticPr fontId="2"/>
  </si>
  <si>
    <r>
      <t xml:space="preserve">■機能
臨床情報のPDF帳票（医療機関向け）
■要求事項
　▸項目名称・表示内容の変更：「告知状況」の項目名称を「患者共有済み」に項目名称を変更し、表示する内容の制御は以下のようにする。
　　①Condition.meta.tag.code=UNINFORMEDで設定されている場合(＝未告知フラグあり)、項目への表示は「×」（＝患者共有済み：×　という意味合い）
　　②Condition.meta.tag.code=UNINFORMEDで設定されていない場合(＝未告知フラグなし)、項目への表示は「〇」（＝患者共有済み：〇　という意味合い）
</t>
    </r>
    <r>
      <rPr>
        <strike/>
        <sz val="11"/>
        <color rgb="FF0000FF"/>
        <rFont val="Meiryo UI"/>
        <family val="3"/>
        <charset val="128"/>
      </rPr>
      <t xml:space="preserve">　▸「患者共有済み」項目の配置は、登録医療機関名の右側とする_x000B_　　(※感染症情報の「患者共有済み」項目の配置とそろえる。)
</t>
    </r>
    <r>
      <rPr>
        <sz val="11"/>
        <rFont val="Meiryo UI"/>
        <family val="3"/>
        <charset val="128"/>
      </rPr>
      <t xml:space="preserve">
■備考
システムベンダに影響が生じない範囲での改修とする
</t>
    </r>
    <phoneticPr fontId="2"/>
  </si>
  <si>
    <t>194</t>
    <phoneticPr fontId="2"/>
  </si>
  <si>
    <t>194-1</t>
    <phoneticPr fontId="2"/>
  </si>
  <si>
    <t>アレルギー</t>
    <phoneticPr fontId="2"/>
  </si>
  <si>
    <t>アレルギー等情報の重症度の非表示</t>
    <rPh sb="9" eb="11">
      <t>ジュウショウ</t>
    </rPh>
    <rPh sb="11" eb="12">
      <t>ド</t>
    </rPh>
    <rPh sb="13" eb="16">
      <t>ヒヒョウジ</t>
    </rPh>
    <phoneticPr fontId="2"/>
  </si>
  <si>
    <r>
      <rPr>
        <sz val="11"/>
        <color rgb="FFFF0000"/>
        <rFont val="Meiryo UI"/>
        <family val="3"/>
        <charset val="128"/>
      </rPr>
      <t xml:space="preserve">2026/8/10 ACN黒川
(リリース希望時期綺麗化作業)リリース希望時期を「令和8年度12月(要調整)」から「令和8年度12月」に変更。
</t>
    </r>
    <r>
      <rPr>
        <sz val="11"/>
        <rFont val="Meiryo UI"/>
        <family val="3"/>
        <charset val="128"/>
      </rPr>
      <t xml:space="preserve">
2026/6/10 ACN本田
令和8年度12月リリース案件として起票</t>
    </r>
    <rPh sb="48" eb="49">
      <t>ガツ</t>
    </rPh>
    <rPh sb="50" eb="51">
      <t>ヨウ</t>
    </rPh>
    <rPh sb="51" eb="53">
      <t>チョウセイ</t>
    </rPh>
    <rPh sb="58" eb="60">
      <t>レイワ</t>
    </rPh>
    <rPh sb="61" eb="63">
      <t>ネンド</t>
    </rPh>
    <rPh sb="65" eb="66">
      <t>ガツ</t>
    </rPh>
    <rPh sb="86" eb="88">
      <t>ホンダ</t>
    </rPh>
    <rPh sb="89" eb="91">
      <t>レイワ</t>
    </rPh>
    <rPh sb="92" eb="94">
      <t>ネンド</t>
    </rPh>
    <rPh sb="96" eb="97">
      <t>ガツ</t>
    </rPh>
    <rPh sb="101" eb="103">
      <t>アンケン</t>
    </rPh>
    <rPh sb="106" eb="108">
      <t>キヒョウ</t>
    </rPh>
    <phoneticPr fontId="2"/>
  </si>
  <si>
    <t>アレルギー等情報の重症度を非表示にし、PDFやXML帳票に出力しないようにする</t>
    <rPh sb="9" eb="11">
      <t>ジュウショウ</t>
    </rPh>
    <rPh sb="11" eb="12">
      <t>ド</t>
    </rPh>
    <rPh sb="13" eb="16">
      <t>ヒヒョウジ</t>
    </rPh>
    <rPh sb="26" eb="28">
      <t>チョウヒョウ</t>
    </rPh>
    <rPh sb="29" eb="31">
      <t>シュツリョク</t>
    </rPh>
    <phoneticPr fontId="2"/>
  </si>
  <si>
    <t>■起票背景
・薬剤アレルギー等情報・その他アレルギー等情報について、重症度の定義が明確になっておらず、医療機関にて適切に重症度を入力して登録いただくのが難しい状況である。
・薬剤アレルギー等情報・その他アレルギー等情報では、症状が発生した際の状況や症状・所見・診断名等が記載されていれば、重症度の記載によらず、他医療機関へ重症か否かの度合いは伝わる。
■目的
・重症度の共有は行わず、他医療機関へ重症か否かの度合いは症状・所見・診断名等の記載で判断する方針とする。そのため、重症度は表示しないことで、医療従事者の閲覧時の混乱を避ける。</t>
    <rPh sb="1" eb="5">
      <t>キヒョウハイケイ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</si>
  <si>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薬剤アレルギー等情報・その他アレルギー等情報について、重症度の定義を明確になっておらず、医療機関にて適切に重症度を入力して登録いただくのが難しく、共有を受けた医療従事者ごとに解釈が異なってしまう可能性があったため、そのような運用が防げる。</t>
    <rPh sb="112" eb="114">
      <t>ウンヨウ</t>
    </rPh>
    <rPh sb="115" eb="116">
      <t>フセ</t>
    </rPh>
    <phoneticPr fontId="2"/>
  </si>
  <si>
    <t>不要</t>
    <phoneticPr fontId="2"/>
  </si>
  <si>
    <t>要求事項①
■機能
　PDF帳票での臨床情報・患者サマリー出力機能_x000B_　(他医療機関向け臨床情報PDF・マイナポータル向け臨床情報PDF・マイナポータル向け患者サマリーPDF)
■内容
　PDF帳票において、薬剤アレルギー等・その他アレルギー等の重症度を非表示にする_x000B_　※重症度の表示を非表示にした分、「症状」の記載範囲を広げていただきたい。
要求事項②
■機能
XMLレイアウトでの臨床情報・患者サマリーの出力機能
_x000B_　▸他医療機関向け臨床情報XML出力(外部IF CIP-IF-002)_x000B_
　▸マイナポータル向け臨床情報XML出力(外部IF 4_マイナポ画面向け/CIP-IF-002)_x000B_
　▸PHR事業者向け臨床情報XML出力(外部IF 6_PHR事業者用/CIP-IF-002)_x000B_
　▸マイナポータル向け患者サマリーXML出力(外部IF 4_マイナポ画面向け/CIP-IF-004)
　▸PHR事業者向け患者サマリーXML出力(外部IF 6_PHR事業者用/CIP-IF-004)
■内容
　上記の外部IFについて、薬剤アレルギー等・その他アレルギー等の重症度を出力しない。
　※外部IF上は後方互換性の観点より、XMLタグの削除は行わない。</t>
    <rPh sb="151" eb="153">
      <t>ショウジョウ</t>
    </rPh>
    <phoneticPr fontId="2"/>
  </si>
  <si>
    <t>195</t>
    <phoneticPr fontId="2"/>
  </si>
  <si>
    <t>195-1</t>
    <phoneticPr fontId="2"/>
  </si>
  <si>
    <t>アレルギー等情報の症状の項目名称の変更</t>
    <phoneticPr fontId="2"/>
  </si>
  <si>
    <r>
      <rPr>
        <sz val="11"/>
        <color rgb="FFFF0000"/>
        <rFont val="Meiryo UI"/>
        <family val="3"/>
        <charset val="128"/>
      </rPr>
      <t xml:space="preserve">2026/10/6 ACN黒川
厚労省スレッドでのやり取りを踏まえ、要求事項・リリース希望時期を追記（赤字参照）
</t>
    </r>
    <r>
      <rPr>
        <sz val="11"/>
        <rFont val="Meiryo UI"/>
        <family val="3"/>
        <charset val="128"/>
      </rPr>
      <t xml:space="preserve">
2026/8/10 ACN黒川
(リリース希望時期綺麗化作業)リリース希望時期を「令和8年度12月(要調整)」から「令和8年度12月」に変更。
2026/6/10 ACN本田
令和8年度12月リリース案件として起票</t>
    </r>
    <rPh sb="13" eb="15">
      <t>クロカワ</t>
    </rPh>
    <rPh sb="16" eb="19">
      <t>コウロウショウ</t>
    </rPh>
    <rPh sb="27" eb="28">
      <t>ト</t>
    </rPh>
    <rPh sb="30" eb="31">
      <t>フ</t>
    </rPh>
    <rPh sb="34" eb="36">
      <t>ヨウキュウ</t>
    </rPh>
    <rPh sb="36" eb="38">
      <t>ジコウ</t>
    </rPh>
    <rPh sb="43" eb="45">
      <t>キボウ</t>
    </rPh>
    <rPh sb="45" eb="47">
      <t>ジキ</t>
    </rPh>
    <rPh sb="48" eb="50">
      <t>ツイキ</t>
    </rPh>
    <rPh sb="51" eb="53">
      <t>アカジ</t>
    </rPh>
    <rPh sb="53" eb="55">
      <t>サンショウ</t>
    </rPh>
    <rPh sb="144" eb="146">
      <t>ホンダ</t>
    </rPh>
    <rPh sb="147" eb="149">
      <t>レイワ</t>
    </rPh>
    <rPh sb="150" eb="152">
      <t>ネンド</t>
    </rPh>
    <rPh sb="154" eb="155">
      <t>ガツ</t>
    </rPh>
    <rPh sb="159" eb="161">
      <t>アンケン</t>
    </rPh>
    <rPh sb="164" eb="166">
      <t>キヒョウ</t>
    </rPh>
    <phoneticPr fontId="2"/>
  </si>
  <si>
    <t>アレルギー等情報の症状の項目名称を変更し、
診断・症状・所見等とする</t>
    <phoneticPr fontId="2"/>
  </si>
  <si>
    <t>■起票背景
・薬剤アレルギー等情報・その他アレルギー等情報では、症状が発生した際の状況や症状・所見・診断名等が記載されていないと、他医療機関でどのようにアレルギー等情報を取り扱えばよいか分からない。
・そのため、技術解説書2.1.0版より、本サービスに薬剤アレルギー等・その他アレルギー等を登録する際は、reaction.manifestation 要素の記述を必須にした。
・reaction.manifestation 要素には、症状が発生した際の状況や症状・所見・診断名等を記載する必要がある。
■目的
・薬剤アレルギー等情報・その他アレルギー等情報のreaction.manifestation 要素の表示名を「診断・症状・所見等」に変更する。</t>
    <rPh sb="1" eb="5">
      <t>キヒョウハイケイ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</si>
  <si>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薬剤アレルギー等情報・その他アレルギー等情報のreaction.manifestation 要素は「症状」と表示しているが、実態としては「症状が発生した際の状況や症状・所見・診断名等」を登録する方針としている。
そのため、記載内容と項目の内容が一致する</t>
    <rPh sb="111" eb="113">
      <t>キサイ</t>
    </rPh>
    <rPh sb="113" eb="115">
      <t>ナイヨウ</t>
    </rPh>
    <rPh sb="116" eb="118">
      <t>コウモク</t>
    </rPh>
    <rPh sb="119" eb="121">
      <t>ナイヨウ</t>
    </rPh>
    <rPh sb="122" eb="124">
      <t>イッチ</t>
    </rPh>
    <phoneticPr fontId="2"/>
  </si>
  <si>
    <r>
      <t xml:space="preserve">令和8年度12月
</t>
    </r>
    <r>
      <rPr>
        <sz val="11"/>
        <color rgb="FFFF0000"/>
        <rFont val="Meiryo UI"/>
        <family val="3"/>
        <charset val="128"/>
      </rPr>
      <t>令和8年度3月（追記分）</t>
    </r>
    <rPh sb="0" eb="2">
      <t>レイワ</t>
    </rPh>
    <rPh sb="3" eb="5">
      <t>ネンド</t>
    </rPh>
    <rPh sb="7" eb="8">
      <t>ガツ</t>
    </rPh>
    <rPh sb="9" eb="11">
      <t>レイワ</t>
    </rPh>
    <rPh sb="12" eb="14">
      <t>ネンド</t>
    </rPh>
    <rPh sb="15" eb="16">
      <t>ガツ</t>
    </rPh>
    <rPh sb="17" eb="19">
      <t>ツイキ</t>
    </rPh>
    <rPh sb="19" eb="20">
      <t>ブン</t>
    </rPh>
    <phoneticPr fontId="2"/>
  </si>
  <si>
    <r>
      <t xml:space="preserve">要求事項①
■機能
　PDF帳票での臨床情報・患者サマリー出力機能_x000B_　(他医療機関向け臨床情報PDF・マイナポータル向け臨床情報PDF・マイナポータル向け患者サマリーPDF)
■内容
（令和8年度12月リリース）
　・上記のPDF帳票について、薬剤アレルギー等・その他アレルギー等の症状の名称を「診断・症状・所見等」に変更する。
</t>
    </r>
    <r>
      <rPr>
        <sz val="11"/>
        <color rgb="FFFF0000"/>
        <rFont val="Meiryo UI"/>
        <family val="3"/>
        <charset val="128"/>
      </rPr>
      <t>（令和8年度3月リリース）</t>
    </r>
    <r>
      <rPr>
        <sz val="11"/>
        <rFont val="Meiryo UI"/>
        <family val="3"/>
        <charset val="128"/>
      </rPr>
      <t xml:space="preserve">
　・診断・症状・所見等は当初より詳細な記載が行われる可能性があるため、</t>
    </r>
    <r>
      <rPr>
        <sz val="11"/>
        <color rgb="FFFF0000"/>
        <rFont val="Meiryo UI"/>
        <family val="3"/>
        <charset val="128"/>
      </rPr>
      <t>薬剤名・アレルギー物質の列を狭め、診断・症状・所見等の</t>
    </r>
    <r>
      <rPr>
        <sz val="11"/>
        <rFont val="Meiryo UI"/>
        <family val="3"/>
        <charset val="128"/>
      </rPr>
      <t>表示枠の横幅を</t>
    </r>
    <r>
      <rPr>
        <sz val="11"/>
        <color rgb="FFFF0000"/>
        <rFont val="Meiryo UI"/>
        <family val="3"/>
        <charset val="128"/>
      </rPr>
      <t>さらに</t>
    </r>
    <r>
      <rPr>
        <sz val="11"/>
        <rFont val="Meiryo UI"/>
        <family val="3"/>
        <charset val="128"/>
      </rPr>
      <t>広げる。</t>
    </r>
    <r>
      <rPr>
        <sz val="11"/>
        <color rgb="FFFF0000"/>
        <rFont val="Meiryo UI"/>
        <family val="3"/>
        <charset val="128"/>
      </rPr>
      <t>なお、広げるサイズについては、厚労省スレッドでのやり取りを参照する。</t>
    </r>
    <rPh sb="93" eb="95">
      <t>レイワ</t>
    </rPh>
    <rPh sb="96" eb="98">
      <t>ネンド</t>
    </rPh>
    <rPh sb="100" eb="101">
      <t>ガツ</t>
    </rPh>
    <rPh sb="166" eb="168">
      <t>レイワ</t>
    </rPh>
    <rPh sb="169" eb="171">
      <t>ネンド</t>
    </rPh>
    <rPh sb="172" eb="173">
      <t>ガツ</t>
    </rPh>
    <rPh sb="258" eb="259">
      <t>ヒロ</t>
    </rPh>
    <rPh sb="270" eb="273">
      <t>コウロウショウ</t>
    </rPh>
    <rPh sb="281" eb="282">
      <t>ト</t>
    </rPh>
    <rPh sb="284" eb="286">
      <t>サンショウ</t>
    </rPh>
    <phoneticPr fontId="2"/>
  </si>
  <si>
    <t xml:space="preserve">
要求事項②（厚労省確認中）
■機能
XMLレイアウトでの臨床情報・患者サマリーの出力機能
　▸他医療機関向け臨床情報XML出力(外部IF CIP-IF-002)
　▸マイナポータル向け臨床情報XML出力(外部IF 4_マイナポ画面向け/CIP-IF-002)
　▸PHR事業者向け臨床情報XML出力(外部IF 6_PHR事業者用/CIP-IF-002)
　▸マイナポータル向け患者サマリーXML出力(外部IF 4_マイナポ画面向け/CIP-IF-004)
　▸PHR事業者向け患者サマリーXML出力(外部IF 6_PHR事業者用/CIP-IF-004)
■内容
　上記の外部IFについて、薬剤アレルギー等・その他アレルギー等の症状の名称を「診断・症状・所見等」に変更する。
　※外部IF上は後方互換性の観点より、XMLタグの名称変更は行わない。</t>
    <phoneticPr fontId="2"/>
  </si>
  <si>
    <t>196</t>
    <phoneticPr fontId="2"/>
  </si>
  <si>
    <t>196-1</t>
    <phoneticPr fontId="2"/>
  </si>
  <si>
    <t>オンライン資格確認端末の臨床情報検索画面・詳細画面のレイアウト変更</t>
    <phoneticPr fontId="2"/>
  </si>
  <si>
    <r>
      <rPr>
        <sz val="11"/>
        <color rgb="FFFF0000"/>
        <rFont val="Meiryo UI"/>
        <family val="3"/>
        <charset val="128"/>
      </rPr>
      <t xml:space="preserve">2026/8/24　支払基金天野
処方情報の臨床情報登録情報履歴照会結果（CIP-IF-006）について、スレッドでのやり取りを踏まえ要求事項に追記。
2026/8/18 ACN黒川
※(「2026/8/18 追記」参照)
検査・感染症の結果の評価値の表示位置について、スレッドでのやり取りを踏まえて要求事項に追記。
2026/7/17 ACN黒川
※青字部分参照
検査情報の結果の評価の表示位置を列内で上下中央揃えとする旨の要求事項を追記。また、感染症情報の検査結果においても評価を表示する旨の要求事項を追記。
2026/7/14 ACN山川
※赤字部分参照
検査情報の評価の表示について、N(Normal)は表示しないよう要求事項を修正。
</t>
    </r>
    <r>
      <rPr>
        <sz val="11"/>
        <color rgb="FF000000"/>
        <rFont val="Meiryo UI"/>
        <family val="3"/>
        <charset val="128"/>
      </rPr>
      <t xml:space="preserve">
2026/6/19 ACN黒川
令和8年度3月案件として起票</t>
    </r>
  </si>
  <si>
    <t>臨床情報一覧の画面のレイアウトを変更し、各情報の検討結果を反映する。</t>
    <phoneticPr fontId="2"/>
  </si>
  <si>
    <t>■背景
・オンライン資格確認端末の臨床情報詳細画面では、自院が登録した臨床情報を確認することができる。
■目的
・臨床情報一覧の画面のレイアウトを変更し、各情報の検討結果を反映する。</t>
    <rPh sb="1" eb="3">
      <t>ハイケイ</t>
    </rPh>
    <rPh sb="54" eb="56">
      <t>モクテキ</t>
    </rPh>
    <phoneticPr fontId="2"/>
  </si>
  <si>
    <t>医療機関において、オン資端末で自院から登録した臨床情報の一覧を確認する際に、他医療機関がPDFで閲覧するレイアウトに近い状態で閲覧することができる。</t>
    <rPh sb="0" eb="4">
      <t>イリョウキカン</t>
    </rPh>
    <rPh sb="11" eb="12">
      <t>シ</t>
    </rPh>
    <rPh sb="12" eb="14">
      <t>タンマツ</t>
    </rPh>
    <rPh sb="15" eb="17">
      <t>ジイン</t>
    </rPh>
    <rPh sb="19" eb="21">
      <t>トウロク</t>
    </rPh>
    <rPh sb="23" eb="27">
      <t>リンショウジョウホウ</t>
    </rPh>
    <rPh sb="28" eb="30">
      <t>イチラン</t>
    </rPh>
    <rPh sb="31" eb="33">
      <t>カクニン</t>
    </rPh>
    <rPh sb="35" eb="36">
      <t>サイ</t>
    </rPh>
    <rPh sb="38" eb="39">
      <t>タ</t>
    </rPh>
    <rPh sb="39" eb="41">
      <t>イリョウ</t>
    </rPh>
    <rPh sb="41" eb="43">
      <t>キカン</t>
    </rPh>
    <rPh sb="48" eb="50">
      <t>エツラン</t>
    </rPh>
    <rPh sb="58" eb="59">
      <t>チカ</t>
    </rPh>
    <rPh sb="60" eb="62">
      <t>ジョウタイ</t>
    </rPh>
    <rPh sb="63" eb="65">
      <t>エツラン</t>
    </rPh>
    <phoneticPr fontId="2"/>
  </si>
  <si>
    <t>オン資端末における自院の臨床情報閲覧</t>
    <rPh sb="2" eb="5">
      <t>シタンマツ</t>
    </rPh>
    <rPh sb="9" eb="11">
      <t>ジイン</t>
    </rPh>
    <rPh sb="12" eb="14">
      <t>リンショウ</t>
    </rPh>
    <rPh sb="14" eb="16">
      <t>ジョウホウ</t>
    </rPh>
    <rPh sb="16" eb="18">
      <t>エツラン</t>
    </rPh>
    <phoneticPr fontId="2"/>
  </si>
  <si>
    <t>オン資端末</t>
    <rPh sb="2" eb="5">
      <t>シタンマツ</t>
    </rPh>
    <phoneticPr fontId="2"/>
  </si>
  <si>
    <t>197</t>
    <phoneticPr fontId="2"/>
  </si>
  <si>
    <t>197-1</t>
    <phoneticPr fontId="2"/>
  </si>
  <si>
    <t>感染症情報の「preliminary(暫定結果報告)」におけるWarningのロジック修正</t>
    <rPh sb="0" eb="3">
      <t>カンセンショウ</t>
    </rPh>
    <rPh sb="3" eb="5">
      <t>ジョウホウ</t>
    </rPh>
    <rPh sb="19" eb="21">
      <t>ザンテイ</t>
    </rPh>
    <rPh sb="21" eb="23">
      <t>ケッカ</t>
    </rPh>
    <rPh sb="23" eb="25">
      <t>ホウコク</t>
    </rPh>
    <rPh sb="43" eb="45">
      <t>シュウセイ</t>
    </rPh>
    <phoneticPr fontId="2"/>
  </si>
  <si>
    <t>2026/6/19 ACN黒川
令和8年度3月案件として起票</t>
    <rPh sb="13" eb="15">
      <t>クロカワ</t>
    </rPh>
    <rPh sb="16" eb="18">
      <t>レイワ</t>
    </rPh>
    <rPh sb="19" eb="21">
      <t>ネンド</t>
    </rPh>
    <rPh sb="22" eb="23">
      <t>ガツ</t>
    </rPh>
    <rPh sb="23" eb="25">
      <t>アンケン</t>
    </rPh>
    <rPh sb="28" eb="30">
      <t>キヒョウ</t>
    </rPh>
    <phoneticPr fontId="2"/>
  </si>
  <si>
    <t>機能改善</t>
    <phoneticPr fontId="2"/>
  </si>
  <si>
    <t>他医療機関に対して感染症の検査結果が「preliminary(暫定結果報告)」のステータスで連携される際には、ワーニングが出ないようにする。</t>
    <rPh sb="0" eb="1">
      <t>タ</t>
    </rPh>
    <rPh sb="1" eb="3">
      <t>イリョウ</t>
    </rPh>
    <rPh sb="3" eb="5">
      <t>キカン</t>
    </rPh>
    <rPh sb="6" eb="7">
      <t>タイ</t>
    </rPh>
    <rPh sb="9" eb="12">
      <t>カンセンショウ</t>
    </rPh>
    <rPh sb="13" eb="15">
      <t>ケンサ</t>
    </rPh>
    <rPh sb="15" eb="17">
      <t>ケッカ</t>
    </rPh>
    <rPh sb="31" eb="33">
      <t>ザンテイ</t>
    </rPh>
    <rPh sb="33" eb="35">
      <t>ケッカ</t>
    </rPh>
    <rPh sb="35" eb="37">
      <t>ホウコク</t>
    </rPh>
    <rPh sb="46" eb="48">
      <t>レンケイ</t>
    </rPh>
    <rPh sb="51" eb="52">
      <t>サイ</t>
    </rPh>
    <rPh sb="61" eb="62">
      <t>デ</t>
    </rPh>
    <phoneticPr fontId="2"/>
  </si>
  <si>
    <t>■背景
・感染症の検査結果は、以下のタイミングで他医療機関・患者へ連携される方針になった_x000B_　▸他医療機関：検査結果が電子カルテに登録されたタイミング(即時連携)_x000B_　▸患者：患者へ説明した後など、医師が患者に共有してもよいと判断したタイミング(observationリソースに患者共有フラグ付与後)
・現在、感染症情報はStatusが「preliminary(暫定結果報告)」の場合は、患者共有フラグの有無に関わらず、以下のワーニングが表示される。_x000B_「登録した感染症検査結果が「暫定結果報告」のステータスになっていますが患者に結果説明はされていますか。確定情報として臨床情報に表示されます。」
■目的
・他医療機関に対して感染症の検査結果がStatusが「preliminary(暫定結果報告)」で連携される際にはワーニングが出ないようにする。</t>
    <rPh sb="1" eb="3">
      <t>ハイケイ</t>
    </rPh>
    <rPh sb="298" eb="300">
      <t>モクテキ</t>
    </rPh>
    <phoneticPr fontId="2"/>
  </si>
  <si>
    <t>医療機関で不要なエラーが表示されなくなる。</t>
    <rPh sb="0" eb="2">
      <t>イリョウ</t>
    </rPh>
    <rPh sb="2" eb="4">
      <t>キカン</t>
    </rPh>
    <rPh sb="5" eb="7">
      <t>フヨウ</t>
    </rPh>
    <rPh sb="12" eb="14">
      <t>ヒョウジ</t>
    </rPh>
    <phoneticPr fontId="2"/>
  </si>
  <si>
    <t>機能：アドオンチェック機能
内容①：_x000B_プロファイルバージョン CLINS1.13.0版以降において、アドオンチェック不変＃193の内容を変更する。_x000B_感染症のObservationリソースが「患者共有フラグが設定されてる(Observation.meta.tag:ptsが存在する」かつ「Statusがpreliminary(Observation.Stausがpreliminary)」の場合に以下のワーニングが表示される。
「患者に共有した感染症検査結果が「暫定結果報告」のステータスになっていますが患者へ結果説明などは行われていますか。」
※以下の場合はワーニングは表示しない_x000B_　・Observation.meta.tag:ptsが存在しない
　・Observation.Stausがpreliminary以外
※プロファイルバージョン CLINS1.12.0版以前の版では、アドオンチェック不変＃193の既存の内容のままとする</t>
    <phoneticPr fontId="2"/>
  </si>
  <si>
    <t>198</t>
    <phoneticPr fontId="2"/>
  </si>
  <si>
    <t>198-1</t>
    <phoneticPr fontId="2"/>
  </si>
  <si>
    <t>連携AP(サーバーOS)のWindowsサーバー2025対応</t>
  </si>
  <si>
    <t>2026/6/15 ACN黒川
令和8年度3月リリース案件として起票</t>
    <rPh sb="13" eb="15">
      <t>クロカワ</t>
    </rPh>
    <rPh sb="16" eb="18">
      <t>レイワ</t>
    </rPh>
    <rPh sb="19" eb="21">
      <t>ネンド</t>
    </rPh>
    <rPh sb="22" eb="23">
      <t>ガツ</t>
    </rPh>
    <rPh sb="27" eb="29">
      <t>アンケン</t>
    </rPh>
    <rPh sb="32" eb="34">
      <t>キヒョウ</t>
    </rPh>
    <phoneticPr fontId="2"/>
  </si>
  <si>
    <t>サーバーOS対応連携アプリケーションにおいて、Windows Server 2025に対応する。</t>
    <rPh sb="6" eb="8">
      <t>タイオウ</t>
    </rPh>
    <rPh sb="8" eb="10">
      <t>レンケイ</t>
    </rPh>
    <rPh sb="43" eb="45">
      <t>タイオウ</t>
    </rPh>
    <phoneticPr fontId="2"/>
  </si>
  <si>
    <t>■起票背景
・サーバーOS対応連携アプリケーションは、現在「Windows Server 2019」・「Windows Server 2022」のサーバーOSのバージョンに対応しているが、既に公開されている「Windows Server 2025」には対応していない。
■目的
・サーバーOS対応連携アプリケーションにおいて、Windows Server 2025に対応する。</t>
  </si>
  <si>
    <t>サーバーOS対応連携アプリケーションにおけるサーバーOSのサポート期間を、Windows Server 2022の終了期限から、Windows Server 2025の対応終了期限まで延長することができる。</t>
  </si>
  <si>
    <t>連携アプリケーション</t>
    <rPh sb="0" eb="2">
      <t>レンケイ</t>
    </rPh>
    <phoneticPr fontId="2"/>
  </si>
  <si>
    <t>電カル共有/オン資/電子処方箋</t>
    <rPh sb="0" eb="1">
      <t>デン</t>
    </rPh>
    <rPh sb="3" eb="5">
      <t>キョウユウ</t>
    </rPh>
    <rPh sb="8" eb="9">
      <t>シ</t>
    </rPh>
    <rPh sb="10" eb="15">
      <t>デンシショホウセン</t>
    </rPh>
    <phoneticPr fontId="2"/>
  </si>
  <si>
    <t>要求事項①
■機能
　連携アプリケーション
■内容
　サーバーOS対応連携アプリケーションにおいて、Windows Server 2025に対応する。</t>
    <rPh sb="0" eb="2">
      <t>ヨウキュウ</t>
    </rPh>
    <rPh sb="2" eb="4">
      <t>ジコウ</t>
    </rPh>
    <rPh sb="7" eb="9">
      <t>キノウ</t>
    </rPh>
    <rPh sb="11" eb="13">
      <t>レンケイ</t>
    </rPh>
    <rPh sb="23" eb="25">
      <t>ナイヨウ</t>
    </rPh>
    <rPh sb="33" eb="35">
      <t>タイオウ</t>
    </rPh>
    <rPh sb="35" eb="37">
      <t>レンケイ</t>
    </rPh>
    <rPh sb="70" eb="72">
      <t>タイオウ</t>
    </rPh>
    <phoneticPr fontId="2"/>
  </si>
  <si>
    <t>199</t>
    <phoneticPr fontId="2"/>
  </si>
  <si>
    <t>199-1</t>
    <phoneticPr fontId="2"/>
  </si>
  <si>
    <t>オン資端末における文書情報検索機能の処理結果コード拡張対応（DVフラグによる閲覧制御対応に伴う）</t>
    <rPh sb="9" eb="13">
      <t>ブンショジョウホウ</t>
    </rPh>
    <rPh sb="13" eb="17">
      <t>ケンサクキノウ</t>
    </rPh>
    <rPh sb="18" eb="20">
      <t>ショリ</t>
    </rPh>
    <rPh sb="20" eb="22">
      <t>ケッカ</t>
    </rPh>
    <rPh sb="25" eb="27">
      <t>カクチョウ</t>
    </rPh>
    <rPh sb="27" eb="29">
      <t>タイオウ</t>
    </rPh>
    <rPh sb="38" eb="40">
      <t>エツラン</t>
    </rPh>
    <rPh sb="40" eb="42">
      <t>セイギョ</t>
    </rPh>
    <rPh sb="42" eb="44">
      <t>タイオウ</t>
    </rPh>
    <phoneticPr fontId="2"/>
  </si>
  <si>
    <r>
      <rPr>
        <sz val="11"/>
        <color rgb="FFFF0000"/>
        <rFont val="Meiryo UI"/>
        <family val="3"/>
        <charset val="128"/>
      </rPr>
      <t xml:space="preserve">2026/7/8 基金山本貴
FJ様より7/8の個別検討会でリリース時期の連携があったことから、リリース希望時期を「令和8年12月 or 令和9年3月」→「令和8年度3月」に更新
</t>
    </r>
    <r>
      <rPr>
        <sz val="11"/>
        <rFont val="Meiryo UI"/>
        <family val="3"/>
        <charset val="128"/>
      </rPr>
      <t xml:space="preserve">
2026/6/18 基金山本貴
令和8年度案件として新規起票</t>
    </r>
    <rPh sb="17" eb="18">
      <t>サマ</t>
    </rPh>
    <rPh sb="24" eb="29">
      <t>コベツケントウカイ</t>
    </rPh>
    <rPh sb="34" eb="36">
      <t>ジキ</t>
    </rPh>
    <rPh sb="37" eb="39">
      <t>レンケイ</t>
    </rPh>
    <rPh sb="52" eb="56">
      <t>キボウジキ</t>
    </rPh>
    <rPh sb="87" eb="89">
      <t>コウシン</t>
    </rPh>
    <rPh sb="101" eb="105">
      <t>キキンヤマモト</t>
    </rPh>
    <rPh sb="105" eb="106">
      <t>タカ</t>
    </rPh>
    <rPh sb="107" eb="109">
      <t>レイワ</t>
    </rPh>
    <rPh sb="110" eb="112">
      <t>ネンド</t>
    </rPh>
    <rPh sb="112" eb="114">
      <t>アンケン</t>
    </rPh>
    <rPh sb="117" eb="121">
      <t>シンキキヒョウ</t>
    </rPh>
    <phoneticPr fontId="2"/>
  </si>
  <si>
    <t>基金山本貴</t>
    <rPh sb="0" eb="2">
      <t>キキン</t>
    </rPh>
    <rPh sb="2" eb="5">
      <t>ヤマモトタカ</t>
    </rPh>
    <phoneticPr fontId="2"/>
  </si>
  <si>
    <t>R8年度案件ID158において、文書情報検索機能の処理を拡張したことに伴い、オン資端末においてエンドユーザに対し、当該処理結果に関する情報を適切に伝達するための改修をおこなう。</t>
    <rPh sb="2" eb="4">
      <t>ネンド</t>
    </rPh>
    <rPh sb="4" eb="6">
      <t>アンケン</t>
    </rPh>
    <rPh sb="16" eb="20">
      <t>ブンショジョウホウ</t>
    </rPh>
    <rPh sb="20" eb="24">
      <t>ケンサクキノウ</t>
    </rPh>
    <rPh sb="25" eb="27">
      <t>ショリ</t>
    </rPh>
    <rPh sb="28" eb="30">
      <t>カクチョウ</t>
    </rPh>
    <rPh sb="35" eb="36">
      <t>トモナ</t>
    </rPh>
    <rPh sb="40" eb="43">
      <t>シタンマツ</t>
    </rPh>
    <rPh sb="54" eb="55">
      <t>タイ</t>
    </rPh>
    <rPh sb="57" eb="59">
      <t>トウガイ</t>
    </rPh>
    <rPh sb="59" eb="61">
      <t>ショリ</t>
    </rPh>
    <rPh sb="61" eb="63">
      <t>ケッカ</t>
    </rPh>
    <rPh sb="64" eb="65">
      <t>カン</t>
    </rPh>
    <rPh sb="67" eb="69">
      <t>ジョウホウ</t>
    </rPh>
    <rPh sb="70" eb="72">
      <t>テキセツ</t>
    </rPh>
    <rPh sb="73" eb="75">
      <t>デンタツ</t>
    </rPh>
    <rPh sb="80" eb="82">
      <t>カイシュウ</t>
    </rPh>
    <phoneticPr fontId="2"/>
  </si>
  <si>
    <t>■起票背景
R8年度案件ID158に伴い、文書情報検索機能の内部処理を拡張したことで、当該機能に関する処理結果コードの返却バリエーションが広がった。オン資端末においては、エンドユーザに対し、係る処理結果コードの情報を適切に伝達するための改修をおこなう必要が生じた。
■目的
オン資端末のUI/UXについて改修をおこなうことにより、オン資端末画面上から文書情報検索機能を呼び出した際の処理結果について、エンドユーザに適切に伝達できるようにする。</t>
    <rPh sb="1" eb="5">
      <t>キヒョウハイケイ</t>
    </rPh>
    <rPh sb="30" eb="32">
      <t>ナイブ</t>
    </rPh>
    <rPh sb="43" eb="45">
      <t>トウガイ</t>
    </rPh>
    <rPh sb="45" eb="47">
      <t>キノウ</t>
    </rPh>
    <rPh sb="48" eb="49">
      <t>カン</t>
    </rPh>
    <rPh sb="59" eb="61">
      <t>ヘンキャク</t>
    </rPh>
    <rPh sb="95" eb="96">
      <t>カカ</t>
    </rPh>
    <rPh sb="97" eb="99">
      <t>ショリ</t>
    </rPh>
    <rPh sb="118" eb="120">
      <t>カイシュウ</t>
    </rPh>
    <rPh sb="125" eb="127">
      <t>ヒツヨウ</t>
    </rPh>
    <rPh sb="128" eb="129">
      <t>ショウ</t>
    </rPh>
    <rPh sb="171" eb="173">
      <t>ガメン</t>
    </rPh>
    <rPh sb="173" eb="174">
      <t>ウエ</t>
    </rPh>
    <rPh sb="176" eb="180">
      <t>ブンショジョウホウ</t>
    </rPh>
    <rPh sb="180" eb="184">
      <t>ケンサクキノウ</t>
    </rPh>
    <rPh sb="185" eb="186">
      <t>ヨ</t>
    </rPh>
    <rPh sb="187" eb="188">
      <t>ダ</t>
    </rPh>
    <rPh sb="190" eb="191">
      <t>サイ</t>
    </rPh>
    <rPh sb="192" eb="196">
      <t>ショリケッカ</t>
    </rPh>
    <phoneticPr fontId="2"/>
  </si>
  <si>
    <t>令和8年度3月</t>
    <rPh sb="0" eb="2">
      <t>レイワ</t>
    </rPh>
    <rPh sb="3" eb="4">
      <t>ネン</t>
    </rPh>
    <rPh sb="4" eb="5">
      <t>ド</t>
    </rPh>
    <rPh sb="6" eb="7">
      <t>ガツ</t>
    </rPh>
    <phoneticPr fontId="2"/>
  </si>
  <si>
    <t>文書情報の検索（オン資端末）</t>
    <rPh sb="0" eb="4">
      <t>ブンショジョウホウ</t>
    </rPh>
    <rPh sb="5" eb="7">
      <t>ケンサク</t>
    </rPh>
    <rPh sb="10" eb="13">
      <t>シタンマツ</t>
    </rPh>
    <phoneticPr fontId="2"/>
  </si>
  <si>
    <t>※改修要件に関してはFJと検討中(6/18)</t>
    <rPh sb="1" eb="5">
      <t>カイシュウヨウケン</t>
    </rPh>
    <rPh sb="6" eb="7">
      <t>カン</t>
    </rPh>
    <rPh sb="13" eb="16">
      <t>ケントウチュウ</t>
    </rPh>
    <phoneticPr fontId="2"/>
  </si>
  <si>
    <t>200</t>
    <phoneticPr fontId="2"/>
  </si>
  <si>
    <t>200-1</t>
    <phoneticPr fontId="2"/>
  </si>
  <si>
    <t>臨床情報:アレルギー</t>
    <rPh sb="0" eb="4">
      <t>リンショウジョウホウ</t>
    </rPh>
    <phoneticPr fontId="2"/>
  </si>
  <si>
    <t>臨床情報の帳票レイアウト(傷病名) の変更</t>
  </si>
  <si>
    <r>
      <rPr>
        <sz val="11"/>
        <color rgb="FFFF0000"/>
        <rFont val="Meiryo UI"/>
        <family val="3"/>
        <charset val="128"/>
      </rPr>
      <t xml:space="preserve">2026/7/16 ACN黒川
7/13 開発課題検討会にて、本案件のリリースは案件193のリリースと合わせて行うと基金より共有いただいたため、リリース希望時期を「令和8年度3月」から「令和8年度12月」に更新。
</t>
    </r>
    <r>
      <rPr>
        <sz val="11"/>
        <rFont val="Meiryo UI"/>
        <family val="3"/>
        <charset val="128"/>
      </rPr>
      <t xml:space="preserve">
2026/6/19 ACN本田
令和8年度3月リリース案件として起票</t>
    </r>
  </si>
  <si>
    <t>「患者共有済み」項目の配置は、登録医療機関名の右側とする</t>
    <phoneticPr fontId="2"/>
  </si>
  <si>
    <t>患者のマイナポータルで表示されるか否かを示す項目について、傷病名・感染症それぞれの情報において表示の仕方や項目名称が異なるため、見間違いが生じないように項目名称を統一させたが、表示位置される位置は異なっていた。表示させる位置を一致させることで見やすくなる。</t>
  </si>
  <si>
    <t>令和8年度12月</t>
    <rPh sb="0" eb="2">
      <t>レイワ</t>
    </rPh>
    <rPh sb="3" eb="4">
      <t>ネン</t>
    </rPh>
    <rPh sb="4" eb="5">
      <t>ド</t>
    </rPh>
    <rPh sb="7" eb="8">
      <t>ガツ</t>
    </rPh>
    <phoneticPr fontId="2"/>
  </si>
  <si>
    <t>■機能
臨床情報のPDF帳票（医療機関向け）
■要求事項
　▸「患者共有済み」項目の配置は、登録医療機関名の右側とする_x000B_　　(※感染症情報の「患者共有済み」項目の配置とそろえる。)</t>
    <phoneticPr fontId="2"/>
  </si>
  <si>
    <t>201</t>
    <phoneticPr fontId="2"/>
  </si>
  <si>
    <t>201-1</t>
    <phoneticPr fontId="2"/>
  </si>
  <si>
    <t>Componentに記述された43+5項目のデータの連携対象外化</t>
    <phoneticPr fontId="2"/>
  </si>
  <si>
    <t>2026/7/29 ACN黒川
7/27 開発課題検討会にて本案件の取り下げに合意したため、「実装予定」を"取り下げ"とする。取り下げ経緯の詳細は「備考（移管先、取り下げ理由等）」を参照
2026/7/16 ACN黒川
7/13 開発課題検討会後に3月リリースに間に合わせることが可能であるとND社にご確認いただき、令和8年度3月案件として新規起票</t>
    <rPh sb="13" eb="15">
      <t>クロカワ</t>
    </rPh>
    <rPh sb="21" eb="28">
      <t>カイハツカダイケントウカイ</t>
    </rPh>
    <rPh sb="30" eb="31">
      <t>ホン</t>
    </rPh>
    <rPh sb="31" eb="33">
      <t>アンケン</t>
    </rPh>
    <rPh sb="34" eb="35">
      <t>ト</t>
    </rPh>
    <rPh sb="36" eb="37">
      <t>サ</t>
    </rPh>
    <rPh sb="39" eb="41">
      <t>ゴウイ</t>
    </rPh>
    <rPh sb="47" eb="49">
      <t>ジッソウ</t>
    </rPh>
    <rPh sb="49" eb="51">
      <t>ヨテイ</t>
    </rPh>
    <rPh sb="54" eb="55">
      <t>ト</t>
    </rPh>
    <rPh sb="56" eb="57">
      <t>サ</t>
    </rPh>
    <rPh sb="63" eb="64">
      <t>ト</t>
    </rPh>
    <rPh sb="65" eb="66">
      <t>サ</t>
    </rPh>
    <rPh sb="67" eb="69">
      <t>ケイイ</t>
    </rPh>
    <rPh sb="70" eb="72">
      <t>ショウサイ</t>
    </rPh>
    <rPh sb="74" eb="76">
      <t>ビコウ</t>
    </rPh>
    <rPh sb="77" eb="79">
      <t>イカン</t>
    </rPh>
    <rPh sb="79" eb="80">
      <t>サキ</t>
    </rPh>
    <rPh sb="81" eb="82">
      <t>ト</t>
    </rPh>
    <rPh sb="83" eb="84">
      <t>サ</t>
    </rPh>
    <rPh sb="85" eb="87">
      <t>リユウ</t>
    </rPh>
    <rPh sb="87" eb="88">
      <t>トウ</t>
    </rPh>
    <rPh sb="91" eb="93">
      <t>サンショウ</t>
    </rPh>
    <rPh sb="108" eb="110">
      <t>クロカワ</t>
    </rPh>
    <rPh sb="116" eb="123">
      <t>カイハツカダイケントウカイ</t>
    </rPh>
    <rPh sb="123" eb="124">
      <t>ゴ</t>
    </rPh>
    <rPh sb="126" eb="127">
      <t>ガツ</t>
    </rPh>
    <rPh sb="132" eb="133">
      <t>マ</t>
    </rPh>
    <rPh sb="134" eb="135">
      <t>ア</t>
    </rPh>
    <rPh sb="141" eb="143">
      <t>カノウ</t>
    </rPh>
    <rPh sb="152" eb="154">
      <t>カクニン</t>
    </rPh>
    <rPh sb="159" eb="161">
      <t>レイワ</t>
    </rPh>
    <rPh sb="162" eb="164">
      <t>ネンド</t>
    </rPh>
    <rPh sb="165" eb="166">
      <t>ガツ</t>
    </rPh>
    <rPh sb="166" eb="168">
      <t>アンケン</t>
    </rPh>
    <rPh sb="171" eb="173">
      <t>シンキ</t>
    </rPh>
    <rPh sb="173" eb="175">
      <t>キヒョウ</t>
    </rPh>
    <phoneticPr fontId="2"/>
  </si>
  <si>
    <t>Observation.component.code.coding.system値に43+5項目のデータが記述されている場合、当該検査結果データをオン資側への連携対象外とする</t>
    <phoneticPr fontId="2"/>
  </si>
  <si>
    <t>■起票背景
・従来のアドオンチェックでは、検査・感染症情報43+5項目・それ以外の項目のいずれについてもComponent要素への記述を禁止していた。
・しかし案件136(「検査・感染症指定項目以外における複合結果の記述の許容」：バリデーションチェックルール不変180「componentが記録されていた場合、エラーとする。」を削除)により、43+5項目以外だけでなく43+5項目についてもComponent要素が利用可能になってしまっていたことが、ONSの問い合わせを契機に判明した。 
・本来、Component要素の利用は43+5項目以外に対してのみ許容すべきものであった。
■目的
・検査・感染症情報43+5項目については、Observation.codeおよびObservation.value[X]に記述するという仕様を担保し、Component要素経由での記述によりバリデーションチェックを迂回したデータが連携されて閲覧側が混乱する事象を防止する。</t>
    <rPh sb="1" eb="3">
      <t>キヒョウ</t>
    </rPh>
    <rPh sb="3" eb="5">
      <t>ハイケイ</t>
    </rPh>
    <rPh sb="293" eb="295">
      <t>モクテキ</t>
    </rPh>
    <phoneticPr fontId="2"/>
  </si>
  <si>
    <t>バリデーションチェックを迂回したデータが連携されて閲覧側が混乱する事象を防止する。</t>
  </si>
  <si>
    <t>Observation.component.code.coding.system値に43+5項目のデータが記述されている場合、アドオンチェックで登録を制御する方針となったため、本案件(オン資側への連携の対象外とする)は取り下げ、案件ID203(アドオンチェックでエラーとする)に移管する。</t>
    <rPh sb="72" eb="74">
      <t>トウロク</t>
    </rPh>
    <rPh sb="75" eb="77">
      <t>セイギョ</t>
    </rPh>
    <rPh sb="79" eb="81">
      <t>ホウシン</t>
    </rPh>
    <rPh sb="88" eb="89">
      <t>ホン</t>
    </rPh>
    <rPh sb="89" eb="91">
      <t>アンケン</t>
    </rPh>
    <rPh sb="94" eb="95">
      <t>シ</t>
    </rPh>
    <rPh sb="95" eb="96">
      <t>ガワ</t>
    </rPh>
    <rPh sb="98" eb="100">
      <t>レンケイ</t>
    </rPh>
    <rPh sb="101" eb="104">
      <t>タイショウガイ</t>
    </rPh>
    <rPh sb="109" eb="110">
      <t>ト</t>
    </rPh>
    <rPh sb="111" eb="112">
      <t>サ</t>
    </rPh>
    <rPh sb="114" eb="116">
      <t>アンケン</t>
    </rPh>
    <rPh sb="139" eb="141">
      <t>イカン</t>
    </rPh>
    <phoneticPr fontId="2"/>
  </si>
  <si>
    <t>検査・感染症抽出機能</t>
    <rPh sb="0" eb="2">
      <t>ケンサ</t>
    </rPh>
    <rPh sb="3" eb="6">
      <t>カンセンショウ</t>
    </rPh>
    <rPh sb="6" eb="8">
      <t>チュウシュツ</t>
    </rPh>
    <rPh sb="8" eb="10">
      <t>キノウ</t>
    </rPh>
    <phoneticPr fontId="2"/>
  </si>
  <si>
    <t>■機能
　検査・感染症情報のオン資への抽出機能
■要求事項
Observation.component要素に記述されている検査結果はオン資側への連携対象外とする。
なお、Observation.component.code.coding.systemに以下の指定43+5項目のurlが記述されていた場合にはワーニングで返却する。
・http://jpfhir.jp/fhir/clins/CodeSystem/JLAC10/JP_CLINS_ObsLabResult_CoreLabo_CS
・http://jpfhir.jp/fhir/clins/CodeSystem/JLAC11/JP_CLINS_ObsLabResult_CoreLabo_CS
・http://jpfhir.jp/fhir/clins/CodeSystem/JLAC10/JP_CLINS_ObsLabResult_InfectionLabo_CS
・http://jpfhir.jp/fhir/clins/CodeSystem/JLAC11/JP_CLINS_ObsLabResult_InfectionLabo_CS</t>
    <phoneticPr fontId="2"/>
  </si>
  <si>
    <t>202</t>
    <phoneticPr fontId="2"/>
  </si>
  <si>
    <t>202-1</t>
    <phoneticPr fontId="2"/>
  </si>
  <si>
    <t>テストデータ作成ツールの改修(薬局等閲覧用データの追加)</t>
    <phoneticPr fontId="2"/>
  </si>
  <si>
    <t>2026/7/22 基金山本晃司</t>
    <phoneticPr fontId="2"/>
  </si>
  <si>
    <t>基金内部検知/要望</t>
    <phoneticPr fontId="2"/>
  </si>
  <si>
    <t>山本晃司</t>
    <rPh sb="0" eb="2">
      <t>ヤマモト</t>
    </rPh>
    <rPh sb="2" eb="3">
      <t>アキラ</t>
    </rPh>
    <phoneticPr fontId="2"/>
  </si>
  <si>
    <t>テストデータ作成セットアップツールにおける薬局等の閲覧確認専用の5情報すべてを揃えたテスト資格データの生成。</t>
    <phoneticPr fontId="2"/>
  </si>
  <si>
    <t>現状、閲覧用臨床情報テストデータは、感染症・アレルギーを除いた3情報に限る。これに対し、モデルユーザである薬局からフォーティエンス社経由で、感染症、アレルギーを含む5情報すべてがそろったテストデータを用意いただきたい旨の依頼有。
登録機能を利用できない他の薬局でも同様の要望が想定できることから、5情報すべてがそろったテストデータの生成を追加する。</t>
    <rPh sb="35" eb="36">
      <t>カギ</t>
    </rPh>
    <phoneticPr fontId="2"/>
  </si>
  <si>
    <t>現状、閲覧用臨床情報テストデータは、感染症・アレルギーを除いた3情報しかない。これに対し、モデルユーザである薬局からフォーティエンス社経由で、感染症、アレルギーを含む5情報すべてがそろったテストデータを用意いただきたい旨の依頼有。
登録機能を利用できない他の薬局でも同様の要望が想定できることから、5情報すべてがそろったテストデータの生成を追加する。</t>
    <phoneticPr fontId="2"/>
  </si>
  <si>
    <t>医療機関（薬局等）向けテストデータの作成</t>
    <rPh sb="5" eb="7">
      <t>ヤッキョク</t>
    </rPh>
    <rPh sb="7" eb="8">
      <t>トウ</t>
    </rPh>
    <rPh sb="9" eb="10">
      <t>ム</t>
    </rPh>
    <rPh sb="18" eb="20">
      <t>サクセイ</t>
    </rPh>
    <phoneticPr fontId="2"/>
  </si>
  <si>
    <t>■要求事項
機能：テストデータ作成セットアップツールで作成する患者データの修正
内容：
①テストデータ作成セットアップツールに対して、テスト用資格に紐づけて生成するテストデータとして、薬局等の閲覧確認専用に5情報すべてを揃えたテストデータを追加する。
②既存データを変更するのではなく、薬局等の閲覧確認専用の資格として追加作成する。
※現行のテストデータ作成ツールでは、オン資上のテストデータのみ生成、電子カルテ情報共有サービス側のデータは登録できないため、登録機能を利用できる医療機関（医科）のテストでの混乱を回避するため。</t>
    <phoneticPr fontId="2"/>
  </si>
  <si>
    <t>203</t>
    <phoneticPr fontId="2"/>
  </si>
  <si>
    <t>203-1</t>
    <phoneticPr fontId="2"/>
  </si>
  <si>
    <t>臨床情報：感染症・検査</t>
    <rPh sb="0" eb="2">
      <t>リンショウ</t>
    </rPh>
    <rPh sb="2" eb="4">
      <t>ジョウホウ</t>
    </rPh>
    <rPh sb="5" eb="8">
      <t>カンセンショウ</t>
    </rPh>
    <rPh sb="9" eb="11">
      <t>ケンサ</t>
    </rPh>
    <phoneticPr fontId="2"/>
  </si>
  <si>
    <t>Componentに記述された43+5項目のデータの登録をエラーとするアドオンチェックの追加</t>
    <phoneticPr fontId="2"/>
  </si>
  <si>
    <t>2026/7/22 ACN黒川
7/21 開発課題検討会にて、案件201と関連し、アドオンチェック機能により登録自体を制限する場合の見積を取得することに合意した。そのため、令和8年度3月案件として新規起票。</t>
    <phoneticPr fontId="2"/>
  </si>
  <si>
    <t>Observation.component.code.coding.system値に43+5項目のデータが記述されている場合、アドオンチェックでエラーとする</t>
  </si>
  <si>
    <t>■起票背景
・従来のアドオンチェックでは、検査・感染症情報43+5項目・それ以外の項目のいずれについてもComponent要素への記述を禁止していた。
・しかし案件136(「検査・感染症指定項目以外における複合結果の記述の許容」：バリデーションチェックルール不変180「componentが記録されていた場合、エラーとする。」を削除)により、43+5項目以外だけでなく43+5項目についてもComponent要素が利用可能になってしまっていたことが、ONSの問い合わせを契機に判明した。 
・本来、Component要素の利用は43+5項目以外に対してのみ許容すべきものであった。
■目的
・検査・感染症情報43+5項目については、Observation.codeおよびObservation.value[X]に記述するという技術解説書どおりの仕様になっていない電カルシステムがあった場合に、それを検知する。</t>
  </si>
  <si>
    <t>■要求事項
機能：アドオンチェック
内容：
臨床情報における、検査・感染症において、
Observation.component.code.coding.systemに以下の検査・感染症 指定43+5項目のsystem値が記述されていた場合は、エラーを返却する。
・http://jpfhir.jp/fhir/clins/CodeSystem/JLAC10/JP_CLINS_ObsLabResult_CoreLabo_CS
・http://jpfhir.jp/fhir/clins/CodeSystem/JLAC11/JP_CLINS_ObsLabResult_CoreLabo_CS
・http://jpfhir.jp/fhir/clins/CodeSystem/JLAC10/JP_CLINS_ObsLabResult_InfectionLabo_CS
・http://jpfhir.jp/fhir/clins/CodeSystem/JLAC11/JP_CLINS_ObsLabResult_InfectionLabo_CS</t>
  </si>
  <si>
    <t>204</t>
    <phoneticPr fontId="2"/>
  </si>
  <si>
    <t>204-1</t>
    <phoneticPr fontId="2"/>
  </si>
  <si>
    <t>検査感染症 43+5項目のデータ登録時にJLAC11コード・JLAC10コードが併記されている場合にエラーとするアドオンチェック
（案件176「検査結果の単位変換」関連)</t>
    <phoneticPr fontId="2"/>
  </si>
  <si>
    <t>2026/10/2 DX審査支払機構Dチーム
221として新規起票のため取り消しました。
2026/8/3 ACN本田
7/21開発課題検討会にて、JLAC11コードとJLAC10コードについて併記されている場合にエラーとする方針となっていた。モデルベンダへの確認結果、影響ないことを確認済みであるため、新規起票。</t>
  </si>
  <si>
    <t>厚生労働省</t>
  </si>
  <si>
    <t>Observation.code値に43+5項目のJLAC11コードとJLAC10コードが併記されている場合、エラーとする。</t>
    <rPh sb="16" eb="17">
      <t>アタイ</t>
    </rPh>
    <rPh sb="22" eb="24">
      <t>コウモク</t>
    </rPh>
    <rPh sb="45" eb="47">
      <t>ヘイキ</t>
    </rPh>
    <rPh sb="52" eb="54">
      <t>バアイ</t>
    </rPh>
    <phoneticPr fontId="2"/>
  </si>
  <si>
    <t>■起票背景
・検査・感染症結果の検査結果について、患者が閲覧する際は、患者が混乱しないように単位を統一する改修を令和9年3月末に行うことになった。（詳細は「案件176 検査結果の単位変換」を参照）
・検査・感染症の検査結果のマイナポータルに表示する際の単位変換ロジックについて、単位変換の主キーとして、 「医療機関が登録した単位」×「コードセットのうち一番下に設定されているJLAC10コードのdisplay値(=FHIR項目名称)」とすることとなった。
（※JLAC11コードのコードセットのdisplay値をキーとする場合はR9.3月末のリリースができないため、JLAC10コードのdisplay値を利用する方針とする）
・しかし、検査・感染症43+5項目において、JLAC11コードのみ記載するとJLAC10コードが補記されるそのため、複数のコードセットが臨床情報に記載される状況が生じ、どのJLAC10コードのFHIR項目名称を単位変換の主キーとすべきか判別がつかない。
■目的
・検査・感染症43+5項目において、JLAC11コードかJLAC10コードが併記されていないことを確認するチェックを追加し、複数のJLAC10コードがオンライン資格等システムに連携されないようにし、単位変換の主キーとしてのJLAC10コードのdisplay値を1つにする。</t>
    <phoneticPr fontId="2"/>
  </si>
  <si>
    <t>単位変換の主キーが特定でき、マイナポータルにおける単位変換が行える</t>
    <rPh sb="0" eb="2">
      <t>タンイ</t>
    </rPh>
    <rPh sb="2" eb="4">
      <t>ヘンカン</t>
    </rPh>
    <rPh sb="5" eb="6">
      <t>シュ</t>
    </rPh>
    <rPh sb="9" eb="11">
      <t>トクテイ</t>
    </rPh>
    <rPh sb="25" eb="27">
      <t>タンイ</t>
    </rPh>
    <rPh sb="27" eb="29">
      <t>ヘンカン</t>
    </rPh>
    <rPh sb="30" eb="31">
      <t>オコナ</t>
    </rPh>
    <phoneticPr fontId="2"/>
  </si>
  <si>
    <t>■機能
アドオンチェック機能
■内容
Observation.code.coding.systemに以下の指定43+5項目のurlが併記して記述されていた場合にはエラーで返却する。
・http://jpfhir.jp/fhir/clins/CodeSystem/JLAC10/JP_CLINS_ObsLabResult_CoreLabo_CS
・http://jpfhir.jp/fhir/clins/CodeSystem/JLAC11/JP_CLINS_ObsLabResult_CoreLabo_CS
・http://jpfhir.jp/fhir/clins/CodeSystem/JLAC10/JP_CLINS_ObsLabResult_InfectionLabo_CS
・http://jpfhir.jp/fhir/clins/CodeSystem/JLAC11/JP_CLINS_ObsLabResult_InfectionLabo_CS</t>
    <phoneticPr fontId="2"/>
  </si>
  <si>
    <t>205</t>
    <phoneticPr fontId="2"/>
  </si>
  <si>
    <t>205-1</t>
    <phoneticPr fontId="2"/>
  </si>
  <si>
    <t>患者サマリーの登録医療機関について、承継しない設定</t>
    <phoneticPr fontId="2"/>
  </si>
  <si>
    <t>2026/9/28 支払基金Dチーム
改修しない方針となりましたため、取り消しました。
2026/8/28　支払基金Dチーム
内容を整理し、要求事項を修正。
8/7　支払基金Dチーム
更新中（ID確保のため）</t>
  </si>
  <si>
    <t>基金山本（佳）</t>
    <rPh sb="0" eb="2">
      <t>キキン</t>
    </rPh>
    <rPh sb="2" eb="4">
      <t>ヤマモト</t>
    </rPh>
    <rPh sb="5" eb="6">
      <t>ケイ</t>
    </rPh>
    <phoneticPr fontId="2"/>
  </si>
  <si>
    <t>■起票背景
案件ID141（9月リリース）では、患者サマリーに使用した医療機関コードにかかわらず、登録時点での「最新の医療機関名・コード」を表示させる改修を行う。
これにより、承継後に「旧医療機関コード(FHIR)」や「旧医療機関名(FHIR)」で患者サマリーを登録してしまった場合でも、マイナポータル上の患者サマリーには「新医療機関」の登録情報が表示され、新医療機関コードで登録した処方・検査情報を閲覧できるようになる。
しかし、このロジックにより患者サマリーの「登録医療機関名」「処方情報」「検査結果」においては「旧医療機関」の情報が抽出できないため、9月リリース以前のロジックに再度修正し承継しないようにする。
■目的
患者サマリーにおいて、医療機関名を承継せず「旧医療機関」および「新医療機関」のデータを抽出できるようにする</t>
  </si>
  <si>
    <t>マイナポータル閲覧時に、承継されていない情報を閲覧することにより、患者の認識に変更が生じず混乱を防止できる。</t>
    <rPh sb="7" eb="10">
      <t>エツランジ</t>
    </rPh>
    <rPh sb="12" eb="14">
      <t>ショウケイ</t>
    </rPh>
    <rPh sb="20" eb="22">
      <t>ジョウホウ</t>
    </rPh>
    <rPh sb="23" eb="25">
      <t>エツラン</t>
    </rPh>
    <rPh sb="33" eb="35">
      <t>カンジャ</t>
    </rPh>
    <rPh sb="36" eb="38">
      <t>ニンシキ</t>
    </rPh>
    <rPh sb="39" eb="41">
      <t>ヘンコウ</t>
    </rPh>
    <rPh sb="42" eb="43">
      <t>ショウ</t>
    </rPh>
    <rPh sb="45" eb="47">
      <t>コンラン</t>
    </rPh>
    <rPh sb="48" eb="50">
      <t>ボウシ</t>
    </rPh>
    <phoneticPr fontId="2"/>
  </si>
  <si>
    <t>患者サマリーの登録・更新</t>
    <rPh sb="0" eb="2">
      <t>カンジャ</t>
    </rPh>
    <rPh sb="7" eb="9">
      <t>トウロク</t>
    </rPh>
    <rPh sb="10" eb="12">
      <t>コウシン</t>
    </rPh>
    <phoneticPr fontId="2"/>
  </si>
  <si>
    <r>
      <rPr>
        <sz val="11"/>
        <color rgb="FF000000"/>
        <rFont val="Meiryo UI"/>
        <family val="3"/>
        <charset val="128"/>
      </rPr>
      <t>機能：患者サマリー登録/更新
内容：</t>
    </r>
    <r>
      <rPr>
        <strike/>
        <sz val="11"/>
        <color rgb="FF000000"/>
        <rFont val="Meiryo UI"/>
        <family val="3"/>
        <charset val="128"/>
      </rPr>
      <t xml:space="preserve">FHIRデータに記録される医療機関コードにおいて、新旧医療機関コード混在を許容しない仕組みを実装する。
</t>
    </r>
    <r>
      <rPr>
        <sz val="11"/>
        <color rgb="FFFF0000"/>
        <rFont val="Meiryo UI"/>
        <family val="3"/>
        <charset val="128"/>
      </rPr>
      <t xml:space="preserve">オン資へ連携する療養計画書XMLの医療機関を承継せず、Orgnaizationリソース(文書作成機関情報)に記載された医療機関コードとする。
</t>
    </r>
    <r>
      <rPr>
        <sz val="11"/>
        <color rgb="FF000000"/>
        <rFont val="Meiryo UI"/>
        <family val="3"/>
        <charset val="128"/>
      </rPr>
      <t xml:space="preserve">
</t>
    </r>
    <phoneticPr fontId="2"/>
  </si>
  <si>
    <t>206</t>
    <phoneticPr fontId="2"/>
  </si>
  <si>
    <t>206-1</t>
    <phoneticPr fontId="2"/>
  </si>
  <si>
    <t>患者サマリーにおいて、処方・検査の対象医療機関を承継前後（新旧）の医療機関で抽出できるように設定</t>
  </si>
  <si>
    <t>2026/9/28 支払基金Dチーム
厚労省様側から新規起票となりましたため、取り消しました。
8/7　支払基金Dチーム
更新中（ID確保のため）</t>
  </si>
  <si>
    <t>基金天野</t>
    <rPh sb="0" eb="2">
      <t>キキン</t>
    </rPh>
    <rPh sb="2" eb="4">
      <t>アマノ</t>
    </rPh>
    <phoneticPr fontId="2"/>
  </si>
  <si>
    <t>■起票背景
現状の仕様では、患者サマリーには常に 「患者サマリー(FHIR)の登録に使用した医療機関名・コード」が表示される。
それに対し、案件ID141（9月リリース）では、患者サマリーに使用した医療機関コードにかかわらず、登録時点での「最新の医療機関名・コード」を表示させる改修を行う。
これにより、承継後に「旧医療機関コード(FHIR)」や「旧医療機関名(FHIR)」で患者サマリーを登録してしまった場合でも、マイナポータル上の患者サマリーには「新医療機関」の登録情報が表示され、新医療機関コードで登録した処方・検査情報を閲覧できるようになる。
しかし、上記機能改修により「新医療機関」の情報のみ画面上に表示され、旧医療機関情報が出力されない場合、国民がマイナポータルより患者サマリーを閲覧した際、正しい情報ではなくなり混乱を招く恐れがある。
■目的
マイナポータルにて患者サマリーを閲覧した際、「新医療機関名」および「旧医療機関名」から抽出したデータをマイナポータル側に連携できるようにする。</t>
  </si>
  <si>
    <t>マイナポータル閲覧時、新医療機関名だけでなく旧医療機関名および旧医療機関において登録された処方情報・検査情報を出力することにより、閲覧者の混乱を防ぐ。</t>
    <rPh sb="7" eb="9">
      <t>エツラン</t>
    </rPh>
    <rPh sb="9" eb="10">
      <t>ジ</t>
    </rPh>
    <rPh sb="11" eb="14">
      <t>シンイリョウ</t>
    </rPh>
    <rPh sb="14" eb="16">
      <t>キカン</t>
    </rPh>
    <rPh sb="16" eb="17">
      <t>メイ</t>
    </rPh>
    <rPh sb="22" eb="25">
      <t>キュウイリョウ</t>
    </rPh>
    <rPh sb="25" eb="27">
      <t>キカン</t>
    </rPh>
    <rPh sb="27" eb="28">
      <t>メイ</t>
    </rPh>
    <rPh sb="31" eb="36">
      <t>キュウイリョウキカン</t>
    </rPh>
    <rPh sb="40" eb="42">
      <t>トウロク</t>
    </rPh>
    <rPh sb="45" eb="49">
      <t>ショホウジョウホウ</t>
    </rPh>
    <rPh sb="50" eb="54">
      <t>ケンサジョウホウ</t>
    </rPh>
    <rPh sb="55" eb="57">
      <t>シュツリョク</t>
    </rPh>
    <rPh sb="65" eb="67">
      <t>エツラン</t>
    </rPh>
    <rPh sb="67" eb="68">
      <t>シャ</t>
    </rPh>
    <rPh sb="69" eb="71">
      <t>コンラン</t>
    </rPh>
    <rPh sb="72" eb="73">
      <t>フセ</t>
    </rPh>
    <phoneticPr fontId="2"/>
  </si>
  <si>
    <t>マイナポータルの閲覧</t>
    <rPh sb="8" eb="10">
      <t>エツラン</t>
    </rPh>
    <phoneticPr fontId="2"/>
  </si>
  <si>
    <t>オン資</t>
    <phoneticPr fontId="2"/>
  </si>
  <si>
    <t xml:space="preserve">■要求事項
機能：患者サマリーの臨床情報閲覧機能(PDF・XML)
内容：承継が発生した際、新医療機関が登録した処方・検査情報だけではなく、指導日から起算して30日以内の処方・検査情報が新旧問わず、画面上に表示されるようにする。
</t>
    <rPh sb="1" eb="3">
      <t>ヨウキュウ</t>
    </rPh>
    <rPh sb="3" eb="5">
      <t>ジコウ</t>
    </rPh>
    <rPh sb="6" eb="8">
      <t>キノウ</t>
    </rPh>
    <rPh sb="35" eb="37">
      <t>ナイヨウ</t>
    </rPh>
    <rPh sb="100" eb="103">
      <t>ガメンジョウ</t>
    </rPh>
    <rPh sb="104" eb="106">
      <t>ヒョウジ</t>
    </rPh>
    <phoneticPr fontId="2"/>
  </si>
  <si>
    <t>207</t>
    <phoneticPr fontId="2"/>
  </si>
  <si>
    <t>207-1</t>
    <phoneticPr fontId="2"/>
  </si>
  <si>
    <t>自己情報提供不可フラグ設定した患者に対する患者サマリーの登録時のエラーのアドオンチェック</t>
    <phoneticPr fontId="2"/>
  </si>
  <si>
    <t>8/10 ACN黒川
2026/8/3開発課題検討会での検討結果を踏まえて、R9年度案件として新規起票。</t>
    <rPh sb="8" eb="10">
      <t>クロカワ</t>
    </rPh>
    <rPh sb="19" eb="26">
      <t>カイハツカダイケントウカイ</t>
    </rPh>
    <rPh sb="28" eb="30">
      <t>ケントウ</t>
    </rPh>
    <rPh sb="30" eb="32">
      <t>ケッカ</t>
    </rPh>
    <rPh sb="33" eb="34">
      <t>フ</t>
    </rPh>
    <rPh sb="40" eb="42">
      <t>ネンド</t>
    </rPh>
    <rPh sb="42" eb="44">
      <t>アンケン</t>
    </rPh>
    <rPh sb="47" eb="49">
      <t>シンキ</t>
    </rPh>
    <rPh sb="49" eb="51">
      <t>キヒョウ</t>
    </rPh>
    <phoneticPr fontId="2"/>
  </si>
  <si>
    <t>自己情報提供不可フラグが設定されている患者に対して、患者サマリーを登録しようとすると、アドオンチェックで登録エラーとする。</t>
    <phoneticPr fontId="2"/>
  </si>
  <si>
    <t xml:space="preserve">■起票背景
・自己情報提供不可フラグとは、DV等被害者が相手方のもとにマイナンバーカードを置いてきた場合等に、マイナンバーカード再交付までの間、マイナポータル上での自己情報の閲覧を制限するために設定されるフラグである。そのため、自己情報提供不可フラグが設定されている患者はマイナポータルを閲覧できない。
・自己情報提供不可フラグが設定されている患者は、一定期間マイナポータル上で患者サマリーを閲覧できないことが判明している状況下であるため、当該患者が閲覧できない患者サマリーを登録することは適切ではない。
（※なお、2026/8/3の開発課題検討会では、自己情報提供不可フラグを設定された患者の臨床情報の登録可否も検討されたが、「臨床情報」は患者のデータを蓄積し、自己情報提供不可フラグ設定の解除後に、他医療機関や患者で参照することができるため、現状の仕様のとおり、臨床情報については自己情報提供不可フラグが設定されている場合でも登録可能とする方針となった。）
■目的
自己情報提供不可フラグが設定されている患者に対して患者サマリーの登録を試みた際に、登録エラーを返却し、紙の療養計画書の運用に切り替えていただくように医療機関へ通知する。 </t>
    <rPh sb="1" eb="5">
      <t>キヒョウハイケイ</t>
    </rPh>
    <rPh sb="153" eb="161">
      <t>ジコジョウホウテイキョウフカ</t>
    </rPh>
    <rPh sb="165" eb="167">
      <t>セッテイ</t>
    </rPh>
    <rPh sb="176" eb="180">
      <t>イッテイキカン</t>
    </rPh>
    <rPh sb="213" eb="214">
      <t>シタ</t>
    </rPh>
    <rPh sb="220" eb="222">
      <t>トウガイ</t>
    </rPh>
    <rPh sb="222" eb="224">
      <t>カンジャ</t>
    </rPh>
    <rPh sb="225" eb="227">
      <t>エツラン</t>
    </rPh>
    <rPh sb="238" eb="240">
      <t>トウロク</t>
    </rPh>
    <rPh sb="433" eb="435">
      <t>モクテキ</t>
    </rPh>
    <rPh sb="515" eb="517">
      <t>ツウチ</t>
    </rPh>
    <phoneticPr fontId="2"/>
  </si>
  <si>
    <t>自己情報提供不可フラグが設定されているためマイナポータルで患者サマリーを閲覧できない患者に対し、患者本人が閲覧できない患者サマリーの登録を防止できる。</t>
    <rPh sb="29" eb="31">
      <t>カンジャ</t>
    </rPh>
    <rPh sb="36" eb="38">
      <t>エツラン</t>
    </rPh>
    <rPh sb="45" eb="46">
      <t>タイ</t>
    </rPh>
    <phoneticPr fontId="2"/>
  </si>
  <si>
    <t>患者サマリーの登録</t>
    <rPh sb="0" eb="2">
      <t>カンジャ</t>
    </rPh>
    <rPh sb="7" eb="9">
      <t>トウロク</t>
    </rPh>
    <phoneticPr fontId="2"/>
  </si>
  <si>
    <t>■機能
アドオンチェック機能
■要求事項：
患者サマリー登録時、登録対象患者に自己情報提供不可フラグが設定されている場合は登録エラーを返却する。
■備考：
エラーメッセージの文言については、厚労省にて引き続き検討する</t>
    <phoneticPr fontId="2"/>
  </si>
  <si>
    <t>エラーメッセージの文言については、厚労省にて引き続き検討を行っているため、確定後に反映する。</t>
    <rPh sb="9" eb="11">
      <t>モンゴン</t>
    </rPh>
    <rPh sb="17" eb="20">
      <t>コウロウショウ</t>
    </rPh>
    <rPh sb="22" eb="23">
      <t>ヒ</t>
    </rPh>
    <rPh sb="24" eb="25">
      <t>ツヅ</t>
    </rPh>
    <rPh sb="26" eb="28">
      <t>ケントウ</t>
    </rPh>
    <rPh sb="29" eb="30">
      <t>オコナ</t>
    </rPh>
    <rPh sb="37" eb="39">
      <t>カクテイ</t>
    </rPh>
    <rPh sb="39" eb="40">
      <t>ゴ</t>
    </rPh>
    <rPh sb="41" eb="43">
      <t>ハンエイ</t>
    </rPh>
    <phoneticPr fontId="2"/>
  </si>
  <si>
    <t>208</t>
  </si>
  <si>
    <t>208-1</t>
  </si>
  <si>
    <t>医療機関等におけるセキュリティインシデント発生時の即時遮断等対応</t>
    <phoneticPr fontId="2"/>
  </si>
  <si>
    <t>2026/08/21 基金宮脇　新規起票</t>
    <rPh sb="11" eb="13">
      <t>キキン</t>
    </rPh>
    <rPh sb="13" eb="15">
      <t>ミヤワキ</t>
    </rPh>
    <rPh sb="16" eb="20">
      <t>シンキキヒョウ</t>
    </rPh>
    <phoneticPr fontId="2"/>
  </si>
  <si>
    <t>宮脇伸次</t>
    <phoneticPr fontId="2"/>
  </si>
  <si>
    <t>医療機関等でセキュリティインシデントが発生した場合、通信等の遮断等の対応を行う</t>
    <rPh sb="0" eb="4">
      <t>イリョウキカン</t>
    </rPh>
    <rPh sb="4" eb="5">
      <t>ナド</t>
    </rPh>
    <rPh sb="19" eb="21">
      <t>ハッセイ</t>
    </rPh>
    <rPh sb="23" eb="25">
      <t>バアイ</t>
    </rPh>
    <rPh sb="26" eb="28">
      <t>ツウシン</t>
    </rPh>
    <rPh sb="28" eb="29">
      <t>ナド</t>
    </rPh>
    <rPh sb="30" eb="32">
      <t>シャダン</t>
    </rPh>
    <rPh sb="32" eb="33">
      <t>ナド</t>
    </rPh>
    <rPh sb="34" eb="36">
      <t>タイオウ</t>
    </rPh>
    <rPh sb="37" eb="38">
      <t>オコナ</t>
    </rPh>
    <phoneticPr fontId="2"/>
  </si>
  <si>
    <t>■起票背景
・経済安全保障推進法に基づく医療分野の基幹インフラ制度において、特定重要設備に位置付けられる予定であり、より高度な安全性の確保が求められることが想定される。
・電子カルテ情報共有サービスでは、個人の機微情報に該当する詳細な診療情報を取り扱うため、医療機関等でセキュリティインシデントが発生した場合には、情報漏えい等の被害拡大を防止するため、通信遮断を含む迅速な対応が必要である。
■目的
本案件では、ブラックリストを利用した共通の利用停止・通信遮断機能を整備することにより、インシデント発生時の初動対応を迅速化するとともに、電子証明書の失効を必要最小限に抑え、医療機関等の業務再開に要する時間、運用負担、影響範囲および費用の軽減を図る。
そのため、以下の課題に対して対応を行う。
・職員拠点での作業や複数ベンダーへの作業依頼が必要であり、時間外や休日には停止までに時間を要する。
・電子証明書の失効反映に最大44時間、オンライン請求では最大27時間を要する。
・電子証明書の失効後も、発行済みのJWTにより最大12時間接続できる場合がある。
・詳細調査前に電子証明書を失効するため、失効が不要な場合にも実施している可能性がある。
電子証明書の再発行やベンダーの現地作業が必要となり、業務再開まで1週間程度を要するほか、費用も発生する。
・電子カルテ情報共有サービスの導入拡大に伴い、停止によるデータ連携や紹介状送受信への影響が拡大することが懸念される。
・インシデント発生医療機関が紹介状を受信できない場合、当該医療機関への送信停止と送信元医療機関への連絡が必要となる。</t>
    <rPh sb="1" eb="5">
      <t>キヒョウハイケイ</t>
    </rPh>
    <rPh sb="198" eb="200">
      <t>モクテキ</t>
    </rPh>
    <rPh sb="331" eb="333">
      <t>イカ</t>
    </rPh>
    <rPh sb="334" eb="336">
      <t>カダイ</t>
    </rPh>
    <rPh sb="337" eb="338">
      <t>タイ</t>
    </rPh>
    <rPh sb="340" eb="342">
      <t>タイオウ</t>
    </rPh>
    <rPh sb="343" eb="344">
      <t>オコナ</t>
    </rPh>
    <phoneticPr fontId="2"/>
  </si>
  <si>
    <t>国民のメリット
インシデント発生時の迅速な通信遮断により、診療情報の漏えいや不正利用の拡大を防止できる。
医療情報連携や紹介状の送受信への影響を抑え、継続的かつ円滑な医療を受けられる。
紹介状を受信できない状況を送信元医療機関へ周知することで、診療の遅延を軽減できる。
医療機関側のメリット
ブロックリストによる迅速な利用停止により、インシデントの被害拡大を防止できる。
電子証明書の不要な失効を抑え、安全確認後の業務を早期に再開できる。
電子証明書の再発行費用やベンダー作業費用、関係者の対応負担を軽減できる。
診療情報連携や紹介状の送受信への影響を最小限に抑えられる。</t>
  </si>
  <si>
    <t>有</t>
  </si>
  <si>
    <t>令和8年度3月</t>
  </si>
  <si>
    <t>基盤
アドオンチェック等</t>
  </si>
  <si>
    <t>①ブロックリスト登録機能
平日日中帯は実施機関端末、時間外・休日は富士通長野拠点から、セキュリティインシデントが発生した医療機関等をブロックリストへ登録できること。
医療機関等の対処完了後、対象医療機関等をブロックリストから解除できること。
ブロックリストを関連する各システムで共通利用できること。
ブロックリストへの登録および解除を、関連する各システムへ迅速に反映できること。
②オンライン資格確認システムにおける遮断
ブロックリストに登録された医療機関等の電子証明書に対して、JWTを払い出さないこと。
JWT認証処理の前段でブロックリストを参照し、登録された医療機関等からのアクセスをエラーとして遮断すること。
既にJWTが払い出されている場合でも、ブロックリスト登録後は対象医療機関等からのアクセスを遮断できること。
オンライン資格確認端末の乗っ取り等により電子証明書が盗まれた可能性がある場合は、従来どおり電子証明書を失効できること。
③電子処方箋管理サービスおよび電子カルテ情報共有サービスにおける遮断
JWT認証処理の前段でブロックリストを参照すること。
ブロックリストに登録された医療機関等からのアクセスについて、認可処理を通さずエラーとして遮断すること。
オンライン資格確認システムと共通のブロックリストを使用し、対象医療機関等の利用を一括して停止できること。
④マイナ資格確認アプリにおける利用停止
ブロックリストに登録された医療機関等について、アクティベーションコードを削除できること。
⑤マイナ在宅受付Webにおける通信遮断
ブロックリストを参照し、対象医療機関等からマイナ在宅受付Webへの通信を遮断できること。
ブロックリストに基づくフロント側での遮断と、IPアドレスによる遮断のどちらを採用するかについて、遮断の確実性や運用負担を踏まえて決定すること。
⑥オンライン請求システムにおける通信停止
ブロックリストに登録された医療機関等からの新規通信を停止できること。
オンライン請求の運用周期を考慮し、業務への影響を最小限に抑えて停止および再開できること。
⑦電子カルテ情報共有サービス固有の対応
ブロックリストに登録された医療機関等への紹介状送信を停止できること。
紹介状送信前にブロックリストを確認し、対象医療機関等への送信を制御できること。
送信済み紹介状を対象医療機関等が取得できない状態であることを、送信元医療機関へ周知できること。（案件ID208-2 にも記載）
コールセンターを利用して連絡する場合の連絡対象、連絡内容、連絡方法および対応記録の管理方法を定めること。（案件ID208-2 にも記載）
⑧運用・セキュリティ要件
時間外・休日を含め、セキュリティインシデント発生後、速やかに遮断操作を実施できる運用体制を整備すること。
ブロックリストの誤登録および誤解除を防止するため、操作者の認証、権限管理および操作確認を実施できること。
ブロックリストへの登録および解除に関する操作履歴を記録し、事後確認できること。
遮断および利用再開の処理結果を確認できること。
電子証明書の失効が必要な場合と、ブロックリストへの登録のみで対応する場合の判断基準を明確にすること。</t>
    <phoneticPr fontId="2"/>
  </si>
  <si>
    <t>208</t>
    <phoneticPr fontId="2"/>
  </si>
  <si>
    <t>208-2</t>
  </si>
  <si>
    <t>医療機関等におけるセキュリティインシデント発生時の即時遮断等対応</t>
    <rPh sb="0" eb="4">
      <t>イリョウキカン</t>
    </rPh>
    <rPh sb="4" eb="5">
      <t>ナド</t>
    </rPh>
    <rPh sb="21" eb="23">
      <t>ハッセイ</t>
    </rPh>
    <rPh sb="23" eb="24">
      <t>ジ</t>
    </rPh>
    <rPh sb="25" eb="27">
      <t>ソクジ</t>
    </rPh>
    <rPh sb="27" eb="29">
      <t>シャダン</t>
    </rPh>
    <rPh sb="29" eb="30">
      <t>ナド</t>
    </rPh>
    <rPh sb="30" eb="32">
      <t>タイオウ</t>
    </rPh>
    <phoneticPr fontId="2"/>
  </si>
  <si>
    <t>8/21 親番号を作成（208-1→208-2にする）
8/18 基金山本貴
2026/8/17開発課題検討会にて付議した「医療機関等におけるセキュリティインシデント発生時のオン資等システム緊急停止対応（案）」の一環として、R8年度案件として新規起票</t>
  </si>
  <si>
    <t>運営管理システム（インシデント対応機能）における文書情報の検索結果一覧にて、画面上での表示だけでなく、結果をCSVファイル形式としてもダウンロードできるよう機能拡張する。</t>
  </si>
  <si>
    <t>■起票背景
・医療機関等においてセキュリティ事象（例：電子カルテ等システムへのランサムウェア感染）が発生した場合、オンライン資格確認等システムでは、当該医療機関との接続を切断する措置を講じている。
・電子カルテ情報共有サービスにおいても同様に、セキュリティ事象が発生した当該医療機関について、他の医療機関への紹介状送付、、ならびに他の医療機関から当該医療機関への紹介状送付を停止する措置を取る。
・しかしながら、紹介状の送付停止措置を実施する前に当該医療機関に送付済みであり、かつ、当該医療機関が未取得の紹介状が存在する場合、紹介状は紹介先医療機関に取得されないまま、電子カルテ情報共有サービスの中央基盤上に長期間残存するおそれがある。
・セキュリティ事象発生時に、このような未取得の紹介状が存在する場合には、実施機関から紹介元医療機関に連絡し、患者の診療継続に支障が生じないよう、患者への説明や医療機関間での調整を行った上で、必要に応じて紹介先・受診日の変更や、紙による紹介状の再発行等の対応を検討いただく運用を想定している。
・当該医療機関への連絡業務については、コンタクトセンター業務委託事業者へのアウトソース（BPO）を予定している。このため、連絡対象となる医療機関の情報を運営管理システムからファイル形式で出力し、委託事業者へ連携できるようにする必要がある。
■目的
運営管理システム（インシデント対応機能）では、紹介元医療機関・紹介先医療機関を指定して文書情報を検索し、その結果を一覧表示することができるが、現状は画面上での一覧表示のみであり、検索結果をファイルとして出力することができない。
検索結果を外部委託事業者へ連携できるよう、CSVファイル形式でダウンロードする機能を追加する。</t>
  </si>
  <si>
    <t>インシデント対応業務</t>
    <rPh sb="8" eb="10">
      <t>ギョウム</t>
    </rPh>
    <phoneticPr fontId="2"/>
  </si>
  <si>
    <t xml:space="preserve">■機能
運営管理システム（インシデント対応機能）
■要求事項：
文書情報の検索結果一覧について、CSVファイル形式でダウンロードできるよう機能拡張する。
</t>
    <phoneticPr fontId="2"/>
  </si>
  <si>
    <t>209</t>
    <phoneticPr fontId="2"/>
  </si>
  <si>
    <t>209-1</t>
    <phoneticPr fontId="2"/>
  </si>
  <si>
    <t>総合ポータルサイトにおける「運用開始日」の項目名の変更</t>
    <phoneticPr fontId="2"/>
  </si>
  <si>
    <t>電子カルテ情報共有サービス運用開始日に係る項目名称変更に伴い、ポータルサイト上の画面表示、業務仮面・アイコン、一括申請マクロ及び通知メールの項目名を変更する。</t>
    <rPh sb="0" eb="2">
      <t>デンシ</t>
    </rPh>
    <rPh sb="5" eb="9">
      <t>ジョウホウキョウユウ</t>
    </rPh>
    <rPh sb="13" eb="18">
      <t>ウンヨウカイシビ</t>
    </rPh>
    <rPh sb="19" eb="20">
      <t>カカ</t>
    </rPh>
    <rPh sb="21" eb="23">
      <t>コウモク</t>
    </rPh>
    <rPh sb="23" eb="27">
      <t>メイショウヘンコウ</t>
    </rPh>
    <rPh sb="28" eb="29">
      <t>トモナ</t>
    </rPh>
    <rPh sb="38" eb="39">
      <t>ジョウ</t>
    </rPh>
    <rPh sb="40" eb="44">
      <t>ガメンヒョウジ</t>
    </rPh>
    <rPh sb="45" eb="47">
      <t>ギョウム</t>
    </rPh>
    <rPh sb="47" eb="49">
      <t>カメン</t>
    </rPh>
    <rPh sb="55" eb="57">
      <t>イッカツ</t>
    </rPh>
    <rPh sb="57" eb="59">
      <t>シンセイ</t>
    </rPh>
    <rPh sb="62" eb="63">
      <t>オヨ</t>
    </rPh>
    <rPh sb="64" eb="66">
      <t>ツウチ</t>
    </rPh>
    <rPh sb="70" eb="72">
      <t>コウモク</t>
    </rPh>
    <rPh sb="72" eb="73">
      <t>メイ</t>
    </rPh>
    <rPh sb="74" eb="76">
      <t>ヘンコウ</t>
    </rPh>
    <phoneticPr fontId="2"/>
  </si>
  <si>
    <t>■起票背景
オンライン資格確認等システム及び電子処方箋管理サービスでは、医療機関等においてシステムの導入・運用準備が完了した後、各サービスの運用を開始する日（運用開始日）をポータルサイトへ登録することとしている。
一方、電子カルテ情報共有サービスでは、文書送付先となる医療機関等を識別するため、ポータルサイトに登録された運用開始日を参照している。
このため、オンライン資格確認等システム等における運用開始日が「サービスの利用開始日」を意味するのに対し、電子カルテ情報共有サービスにおける運用開始日は「文書送付先として利用可能となる日」を意味しており、同一項目名でありながら意味・役割が異なる。
■目的
利用者の誤認を防止し、利用目的を明確化する。</t>
    <rPh sb="1" eb="3">
      <t>キヒョウ</t>
    </rPh>
    <rPh sb="3" eb="5">
      <t>ハイケイ</t>
    </rPh>
    <rPh sb="20" eb="21">
      <t>オヨ</t>
    </rPh>
    <rPh sb="299" eb="301">
      <t>モクテキ</t>
    </rPh>
    <phoneticPr fontId="2"/>
  </si>
  <si>
    <t>利用者の誤認を防ぐことができ、利用目的が明確となる。</t>
    <rPh sb="7" eb="8">
      <t>フセ</t>
    </rPh>
    <phoneticPr fontId="2"/>
  </si>
  <si>
    <t>令和9年1月</t>
    <rPh sb="0" eb="2">
      <t>レイワ</t>
    </rPh>
    <rPh sb="3" eb="4">
      <t>ネン</t>
    </rPh>
    <rPh sb="5" eb="6">
      <t>ガツ</t>
    </rPh>
    <phoneticPr fontId="2"/>
  </si>
  <si>
    <t>総合ポータル</t>
    <phoneticPr fontId="2"/>
  </si>
  <si>
    <t>要求事項
電子カルテ情報共有サービスにおける「運用開始日」の項目名を、「文書送受信サービス運用開始日登録（仮）」へ変更する。
これに伴い、ポータルサイトにおける画面表示及び業務画面・アイコンの名称並びに一括申請マクロ及び通知メールにおける項目名称について、当該項目名に合わせて変更を行う。</t>
    <rPh sb="0" eb="4">
      <t>ヨウキュウジコウ</t>
    </rPh>
    <rPh sb="119" eb="121">
      <t>コウモク</t>
    </rPh>
    <phoneticPr fontId="2"/>
  </si>
  <si>
    <t>210</t>
    <phoneticPr fontId="2"/>
  </si>
  <si>
    <t>210-1</t>
    <phoneticPr fontId="2"/>
  </si>
  <si>
    <t>血液型に関する情報を共有対象外とする改修</t>
    <phoneticPr fontId="2"/>
  </si>
  <si>
    <r>
      <rPr>
        <sz val="11"/>
        <color rgb="FF0000FF"/>
        <rFont val="Meiryo UI"/>
        <family val="3"/>
        <charset val="128"/>
      </rPr>
      <t xml:space="preserve">2026/10/9 ACN中澤
モデル実施機関中における血液型データの論理削除に関する検討の進捗を要求事項、備考欄を追記。（青字部分）
2026/10/5 ACN本田
2026/10/5 開発課題検討会にて 基金より対応案Aのみ令和8年度3末対応が可能であったため、対応案Bについては取り下げる
</t>
    </r>
    <r>
      <rPr>
        <sz val="11"/>
        <rFont val="Meiryo UI"/>
        <family val="3"/>
        <charset val="128"/>
      </rPr>
      <t xml:space="preserve">2026/9/30 ACN中澤
モデル実施機関中における血液型データの論理削除に関する記載（要求事項、備考欄）を修正。（青字部分）
2026/9/25 ACN黒川（厚労ACN更新中）
9/14開発課題検討会での合意形成事項を踏まえて、要求事項を追記。（赤字部分）
9/7 ACN中澤
2026/8/31開発課題検討会での合意事項を踏まえて、R9年度案件として新規起票。
</t>
    </r>
    <r>
      <rPr>
        <b/>
        <sz val="11"/>
        <rFont val="Meiryo UI"/>
        <family val="3"/>
        <charset val="128"/>
      </rPr>
      <t>※本起票は、改修要否および適切な対応方針を判断するための見積依頼を目的とした起票である。見積もり結果を踏まえて開発要否・対応方針を省内にて別途検討する。</t>
    </r>
    <rPh sb="43" eb="45">
      <t>ケントウ</t>
    </rPh>
    <rPh sb="46" eb="48">
      <t>シンチョク</t>
    </rPh>
    <rPh sb="58" eb="60">
      <t>ツイキ</t>
    </rPh>
    <rPh sb="82" eb="84">
      <t>ホンダ</t>
    </rPh>
    <rPh sb="95" eb="97">
      <t>カイハツ</t>
    </rPh>
    <rPh sb="97" eb="99">
      <t>カダイ</t>
    </rPh>
    <rPh sb="99" eb="101">
      <t>ケントウ</t>
    </rPh>
    <rPh sb="101" eb="102">
      <t>カイ</t>
    </rPh>
    <rPh sb="105" eb="107">
      <t>キキン</t>
    </rPh>
    <rPh sb="109" eb="111">
      <t>タイオウ</t>
    </rPh>
    <rPh sb="111" eb="112">
      <t>アン</t>
    </rPh>
    <rPh sb="115" eb="117">
      <t>レイワ</t>
    </rPh>
    <rPh sb="118" eb="120">
      <t>ネンド</t>
    </rPh>
    <rPh sb="121" eb="122">
      <t>マツ</t>
    </rPh>
    <rPh sb="122" eb="124">
      <t>タイオウ</t>
    </rPh>
    <rPh sb="125" eb="127">
      <t>カノウ</t>
    </rPh>
    <rPh sb="134" eb="136">
      <t>タイオウ</t>
    </rPh>
    <rPh sb="136" eb="137">
      <t>アン</t>
    </rPh>
    <rPh sb="143" eb="144">
      <t>ト</t>
    </rPh>
    <rPh sb="145" eb="146">
      <t>サ</t>
    </rPh>
    <rPh sb="163" eb="165">
      <t>ナカザワ</t>
    </rPh>
    <rPh sb="169" eb="171">
      <t>ジッシ</t>
    </rPh>
    <rPh sb="171" eb="173">
      <t>キカン</t>
    </rPh>
    <rPh sb="173" eb="174">
      <t>チュウ</t>
    </rPh>
    <rPh sb="178" eb="181">
      <t>ケツエキガタ</t>
    </rPh>
    <rPh sb="185" eb="189">
      <t>ロンリサクジョ</t>
    </rPh>
    <rPh sb="190" eb="191">
      <t>カン</t>
    </rPh>
    <rPh sb="193" eb="195">
      <t>キサイ</t>
    </rPh>
    <rPh sb="196" eb="200">
      <t>ヨウキュウジコウ</t>
    </rPh>
    <rPh sb="201" eb="204">
      <t>ビコウラン</t>
    </rPh>
    <rPh sb="206" eb="208">
      <t>シュウセイ</t>
    </rPh>
    <rPh sb="210" eb="214">
      <t>アオジブブン</t>
    </rPh>
    <rPh sb="247" eb="254">
      <t>カイハツカダイケントウカイ</t>
    </rPh>
    <rPh sb="256" eb="258">
      <t>ゴウイ</t>
    </rPh>
    <rPh sb="258" eb="260">
      <t>ケイセイ</t>
    </rPh>
    <rPh sb="260" eb="262">
      <t>ジコウ</t>
    </rPh>
    <rPh sb="263" eb="264">
      <t>フ</t>
    </rPh>
    <rPh sb="268" eb="270">
      <t>ヨウキュウ</t>
    </rPh>
    <rPh sb="270" eb="272">
      <t>ジコウ</t>
    </rPh>
    <rPh sb="273" eb="275">
      <t>ツイキ</t>
    </rPh>
    <rPh sb="277" eb="279">
      <t>アカジ</t>
    </rPh>
    <rPh sb="279" eb="281">
      <t>ブブン</t>
    </rPh>
    <rPh sb="291" eb="293">
      <t>ナカザワ</t>
    </rPh>
    <rPh sb="312" eb="316">
      <t>ゴウイジコウ</t>
    </rPh>
    <rPh sb="392" eb="396">
      <t>カイハツヨウヒ</t>
    </rPh>
    <rPh sb="406" eb="408">
      <t>ベット</t>
    </rPh>
    <phoneticPr fontId="2"/>
  </si>
  <si>
    <t>ACN中澤</t>
    <rPh sb="3" eb="5">
      <t>ナカザワ</t>
    </rPh>
    <phoneticPr fontId="2"/>
  </si>
  <si>
    <t>血液型を共有対象項目から除外する</t>
    <phoneticPr fontId="2"/>
  </si>
  <si>
    <t>■起票背景
・加賀市医療センターとの打ち合わせにて、血液型は機微な情報であるため、共有対象外とすべきではないかという意見を受領した。
・血液型は親子・血縁関係が推測され得る情報なので慎重に扱う必要がある情報であることを踏まえ、血液型を共有対象項目から除外するか厚労省内で検討中である。
■目的
・血液型は親子・血縁関係が推測され得る情報で、慎重に扱う必要がある情報であることを踏まえ、共有対象項目から除外する。</t>
    <rPh sb="145" eb="147">
      <t>モクテキ</t>
    </rPh>
    <phoneticPr fontId="2"/>
  </si>
  <si>
    <t>・機微な情報である血液型について、意思に反して共有されることを防ぐことができる</t>
    <rPh sb="1" eb="3">
      <t>キビ</t>
    </rPh>
    <rPh sb="4" eb="6">
      <t>ジョウホウ</t>
    </rPh>
    <rPh sb="9" eb="12">
      <t>ケツエキガタ</t>
    </rPh>
    <rPh sb="17" eb="19">
      <t>イシ</t>
    </rPh>
    <rPh sb="20" eb="21">
      <t>ハン</t>
    </rPh>
    <rPh sb="23" eb="25">
      <t>キョウユウ</t>
    </rPh>
    <rPh sb="31" eb="32">
      <t>フセ</t>
    </rPh>
    <phoneticPr fontId="2"/>
  </si>
  <si>
    <t>調整先整理中
(調整先候補)
　・日本輸血・細胞治療学会
　・日本救急医学会
　・医師会</t>
    <rPh sb="0" eb="2">
      <t>チョウセイ</t>
    </rPh>
    <rPh sb="2" eb="3">
      <t>サキ</t>
    </rPh>
    <rPh sb="3" eb="5">
      <t>セイリ</t>
    </rPh>
    <rPh sb="5" eb="6">
      <t>チュウ</t>
    </rPh>
    <rPh sb="8" eb="10">
      <t>チョウセイ</t>
    </rPh>
    <rPh sb="10" eb="11">
      <t>サキ</t>
    </rPh>
    <rPh sb="11" eb="13">
      <t>コウホ</t>
    </rPh>
    <rPh sb="17" eb="19">
      <t>ニホン</t>
    </rPh>
    <rPh sb="19" eb="21">
      <t>ユケツ</t>
    </rPh>
    <rPh sb="22" eb="24">
      <t>サイボウ</t>
    </rPh>
    <rPh sb="24" eb="26">
      <t>チリョウ</t>
    </rPh>
    <rPh sb="26" eb="28">
      <t>ガッカイ</t>
    </rPh>
    <rPh sb="41" eb="43">
      <t>イシ</t>
    </rPh>
    <rPh sb="43" eb="44">
      <t>カイ</t>
    </rPh>
    <phoneticPr fontId="2"/>
  </si>
  <si>
    <t>臨床情報の登録・抽出</t>
    <rPh sb="5" eb="7">
      <t>トウロク</t>
    </rPh>
    <rPh sb="8" eb="10">
      <t>チュウシュツ</t>
    </rPh>
    <phoneticPr fontId="2"/>
  </si>
  <si>
    <t>対応案A：
オン資
対応案B：
電カル共有</t>
    <rPh sb="0" eb="3">
      <t>タイオウアン</t>
    </rPh>
    <rPh sb="10" eb="13">
      <t>タイオウアン</t>
    </rPh>
    <rPh sb="16" eb="17">
      <t>デン</t>
    </rPh>
    <rPh sb="19" eb="21">
      <t>キョウユウ</t>
    </rPh>
    <phoneticPr fontId="2"/>
  </si>
  <si>
    <r>
      <rPr>
        <sz val="11"/>
        <color rgb="FF000000"/>
        <rFont val="Meiryo UI"/>
        <family val="3"/>
        <charset val="128"/>
      </rPr>
      <t xml:space="preserve">対応方針を検討するための見積もりであるため、2つの対応案それぞれの見積もりを取得する
＜要求事項_対応案A＞
■機能
　オン資における臨床情報一覧の出力機能(医療機関向けPDF・XML、資格確認端末の臨床情報詳細画面、マイナポ向け(患者サマリーも含む)PDF・XML、PHR事業者向け(患者サマリーも含む)PDF・XML)
■内容
血液型-ABO、血液型-Rhの検査結果については、臨床情報一覧として出力しないように制御する (医療機関からの登録は可能であり、オンライン資格確認システムの臨床情報DBには保存する。)
</t>
    </r>
    <r>
      <rPr>
        <sz val="11"/>
        <color rgb="FFFF0000"/>
        <rFont val="Meiryo UI"/>
        <family val="3"/>
        <charset val="128"/>
      </rPr>
      <t xml:space="preserve">なお、血液型に関する情報については蓋閉じ機能を設けるものとし、当該機能の有効／無効は運用にて切り替え可能とする。
</t>
    </r>
    <r>
      <rPr>
        <sz val="11"/>
        <color rgb="FF000000"/>
        <rFont val="Meiryo UI"/>
        <family val="3"/>
        <charset val="128"/>
      </rPr>
      <t xml:space="preserve">
■備考
</t>
    </r>
    <r>
      <rPr>
        <sz val="11"/>
        <rFont val="Meiryo UI"/>
        <family val="3"/>
        <charset val="128"/>
      </rPr>
      <t xml:space="preserve">・本起票は、改修要否および適切な対応方針を判断するための見積依頼を目的とした起票である。見積もり結果を踏まえて対応方針を省内にて検討する。
・なお、本案件の実装対象外の関連検討として、モデル期間中に登録された血液型の検査結果について、1月以降の本格運用において、臨床情報DBからの論理削除が対応可能か基金にて検討する
</t>
    </r>
    <r>
      <rPr>
        <sz val="11"/>
        <color rgb="FF0000FF"/>
        <rFont val="Meiryo UI"/>
        <family val="3"/>
        <charset val="128"/>
      </rPr>
      <t xml:space="preserve">→機構にて「リソース単位での削除は不可であり、Bundle ID単位での削除が必要」であることを確認。基金の確認結果を踏まえ、「Bundle ID単位での削除」による対応が可能か検討中。（10/9 厚労省にて記載修正）
</t>
    </r>
    <r>
      <rPr>
        <strike/>
        <sz val="11"/>
        <color rgb="FF000000"/>
        <rFont val="Meiryo UI"/>
        <family val="3"/>
        <charset val="128"/>
      </rPr>
      <t xml:space="preserve">
＜要求事項_対応案B＞
■機能
　電カル共有からオン資への臨床情報連携機能
■内容　電子カルテ情報共有サービスからオンライン資格確認システムへ連携する際に、血液型-ABO、血液型-Rhの検査結果は、検査感染症の対象外の項目と同様に連携対象外とする。 (ただし、医療機関から登録は可能とする。)
な</t>
    </r>
    <r>
      <rPr>
        <strike/>
        <sz val="11"/>
        <color rgb="FFFF0000"/>
        <rFont val="Meiryo UI"/>
        <family val="3"/>
        <charset val="128"/>
      </rPr>
      <t>お、血液型に関する情報については蓋閉じ機能を設けるものとし、当該機能の有効／無効は運用にて切り替え可能とする。
■</t>
    </r>
    <r>
      <rPr>
        <strike/>
        <sz val="11"/>
        <color rgb="FF000000"/>
        <rFont val="Meiryo UI"/>
        <family val="3"/>
        <charset val="128"/>
      </rPr>
      <t>備考
・本起票は、改修要否および適切な対応方針を判断するための見積依頼を目的とした起票である。見積もり結果を踏まえて対応方針を省内にて検討する。
・なお、本案件の実装対象外の関連検討として、モデル期間中に登録された血液型の検査結果について、1月以降の本格運用において、臨床情報DBからの論理削除が対応可能か基金にて検討する（9/30 厚労省にて記載修正）</t>
    </r>
    <rPh sb="481" eb="483">
      <t>キコウ</t>
    </rPh>
    <rPh sb="490" eb="492">
      <t>タンイ</t>
    </rPh>
    <rPh sb="494" eb="496">
      <t>サクジョ</t>
    </rPh>
    <rPh sb="497" eb="499">
      <t>フカ</t>
    </rPh>
    <rPh sb="512" eb="514">
      <t>タンイ</t>
    </rPh>
    <rPh sb="516" eb="518">
      <t>サクジョ</t>
    </rPh>
    <rPh sb="519" eb="521">
      <t>ヒツヨウ</t>
    </rPh>
    <rPh sb="528" eb="530">
      <t>カクニン</t>
    </rPh>
    <rPh sb="531" eb="533">
      <t>キキン</t>
    </rPh>
    <rPh sb="534" eb="538">
      <t>カクニンケッカ</t>
    </rPh>
    <rPh sb="539" eb="540">
      <t>フ</t>
    </rPh>
    <rPh sb="563" eb="565">
      <t>タイオウ</t>
    </rPh>
    <rPh sb="566" eb="568">
      <t>カノウ</t>
    </rPh>
    <rPh sb="569" eb="572">
      <t>ケントウチュウ</t>
    </rPh>
    <phoneticPr fontId="2"/>
  </si>
  <si>
    <r>
      <rPr>
        <sz val="11"/>
        <rFont val="Meiryo UI"/>
        <family val="3"/>
        <charset val="128"/>
      </rPr>
      <t xml:space="preserve">【本案件の実装対象外の関連検討】
モデル期間中に登録された血液型の検査結果について、1月以降の本格運用において、臨床情報DBからの論理削除が対応可能か基金にて検討する
</t>
    </r>
    <r>
      <rPr>
        <sz val="11"/>
        <color rgb="FF0000FF"/>
        <rFont val="Meiryo UI"/>
        <family val="3"/>
        <charset val="128"/>
      </rPr>
      <t>→機構にて「リソース単位での削除は不可であり、Bundle ID単位での削除が必要」であることを確認。基金の確認結果を踏まえ、「Bundle ID単位での削除」による対応が可能か検討中。（10/9 厚労省にて記載修正）</t>
    </r>
    <rPh sb="11" eb="15">
      <t>カンレンケントウ</t>
    </rPh>
    <rPh sb="65" eb="67">
      <t>ロンリ</t>
    </rPh>
    <rPh sb="72" eb="74">
      <t>カノウ</t>
    </rPh>
    <rPh sb="75" eb="77">
      <t>キキン</t>
    </rPh>
    <rPh sb="79" eb="81">
      <t>ケントウ</t>
    </rPh>
    <rPh sb="85" eb="87">
      <t>キコウ</t>
    </rPh>
    <phoneticPr fontId="2"/>
  </si>
  <si>
    <t>211</t>
    <phoneticPr fontId="2"/>
  </si>
  <si>
    <t>211-1</t>
    <phoneticPr fontId="2"/>
  </si>
  <si>
    <t>標準マスタにおける1つのコードに対するdisplay値変更時における経過措置期間の設定機能の追加</t>
    <phoneticPr fontId="2"/>
  </si>
  <si>
    <r>
      <t xml:space="preserve">9/7 ACN中澤
2026/8/31開発課題検討会での合意事項を踏まえて、R9年度案件として新規起票。
</t>
    </r>
    <r>
      <rPr>
        <b/>
        <sz val="11"/>
        <color rgb="FFFF0000"/>
        <rFont val="Meiryo UI"/>
        <family val="3"/>
        <charset val="128"/>
      </rPr>
      <t>※本起票は、改修要否および適切な対応方針を判断するための見積依頼を目的とした起票である。見積もり結果を踏まえて開発要否・対応方針を厚労省にて別途検討する。</t>
    </r>
    <rPh sb="7" eb="9">
      <t>ナカザワ</t>
    </rPh>
    <rPh sb="28" eb="32">
      <t>ゴウイジコウ</t>
    </rPh>
    <rPh sb="123" eb="125">
      <t>ベット</t>
    </rPh>
    <phoneticPr fontId="2"/>
  </si>
  <si>
    <t>全国運用開始後に1コードに対するdisplay値の変更が発生した場合でも、旧display値による登録がエラーとならないよう改修する</t>
    <rPh sb="62" eb="64">
      <t>カイシュウ</t>
    </rPh>
    <phoneticPr fontId="2"/>
  </si>
  <si>
    <t>■起票背景
・令和8年度9月リリース時における中央基盤のマスタ切り替え時において、モデル事業の検証結果を踏まえて、一部のJ-FAGYコードとJLACコードで、1つのコードに対してのdisplay値のみが変更となった。
・現在のアドオンチェック仕様は「標準マスタ内で終了日が最新のレコードのdisplay値を取得し、登録データのdisplay値と一致しない場合はエラーとする」仕様であるため、9/25のリリース後、古いdisplay値を設定して登録した場合はエラーとなる。
・本事象はモデル事業の検証結果によるものであり、全国的な運用開始後に同事象は発生しにくいが、全国的な運用開始後に1つのコードに対してdisplay値のみ変更が発生した場合の医療機関への影響度合いが大きいことから、モデルのシステムベンダより、1コードに対してdisplay値のみの変更が生じた場合においてもエラーとならないように対応すべきとの意見を受領した。
■目的
・全国運用開始後に1コードに対するdisplay値のみの変更が発生した場合でも、旧display値による登録がエラーとならないようにし、医療機関への影響を抑える。</t>
    <rPh sb="422" eb="424">
      <t>モクテキ</t>
    </rPh>
    <phoneticPr fontId="2"/>
  </si>
  <si>
    <t>・全国運用開始後に1コードに対するdisplay値のみの変更が発生した場合でも、旧display値による登録がエラーとならないようにし、医療機関への影響を抑えることができる</t>
    <rPh sb="77" eb="78">
      <t>オサ</t>
    </rPh>
    <phoneticPr fontId="2"/>
  </si>
  <si>
    <t>・各マスタ管理団体
　（医情研・JLACセンター・東大）</t>
    <rPh sb="1" eb="2">
      <t>カク</t>
    </rPh>
    <rPh sb="5" eb="7">
      <t>カンリ</t>
    </rPh>
    <rPh sb="7" eb="9">
      <t>ダンタイ</t>
    </rPh>
    <rPh sb="12" eb="13">
      <t>イ</t>
    </rPh>
    <rPh sb="13" eb="14">
      <t>ジョウ</t>
    </rPh>
    <rPh sb="14" eb="15">
      <t>ケン</t>
    </rPh>
    <rPh sb="25" eb="27">
      <t>トウダイ</t>
    </rPh>
    <phoneticPr fontId="2"/>
  </si>
  <si>
    <t>令和9年12月</t>
    <rPh sb="3" eb="4">
      <t>ネン</t>
    </rPh>
    <rPh sb="6" eb="7">
      <t>ガツ</t>
    </rPh>
    <phoneticPr fontId="2"/>
  </si>
  <si>
    <t>中央基盤のマスタチェック機能</t>
    <phoneticPr fontId="2"/>
  </si>
  <si>
    <t>■機能
　アドオンチェック（中央基盤のマスタチェック機能の改修）
■内容
・標準マスタ内において1つのコードに対してdisplay値のみの変更があった場合、旧display値であっても一定の経過措置期間内であればエラーとせずワーニングを返却して登録できるようにする。あわせて、当該経過措置期間を柔軟に設定・変更できるようにする。
・チェック対象日付（例：傷病名は診療開始日〔Condition.onsetDateTime〕、検査・感染症は検体採取日〔Observation.effectiveDateTime〕、薬剤アレルギー・その他アレルギーは登録日〔AllergyIntolerance.recordedDate〕、処方情報は処方日〔MedicationRequest.authoredOn〕）と、各マスタの適用終了日を比較し、経過措置期間内外を判定する。
ただし、チェック対象日付が空欄、YYYY/MM、YYYYの場合は以下のようなチェックとする
　▸空欄：1コードに対し過去に設定していた旧display値/新display値どちらで登録されても登録エラー・ワーニングを出力しないようにする_x000B_　▸YYYY/MM：YYYY/MM/１ーYYYY/MM/31の期間が経過措置期間に含まれていれば登録可とする
　▸YYYY：YYYY/1/1-YYYY/12/31の期間が経過措置期間に含まれていれば登録可とする
・経過措置期間の柔軟な設定方式については以下いずれかを想定しており、個別で見積もりを行う。
　①マスタのレコードごとに指定
　②マスタのバージョンごとに指定
　③マスタごとに指定
　④全マスタ統一で指定
■備考
・本起票は、改修要否および適切な対応方針を判断するための見積依頼を目的とした起票である。見積もり結果を踏まえて対応方針を厚労省にて検討する。</t>
    <phoneticPr fontId="2"/>
  </si>
  <si>
    <t>・本起票は、改修要否および適切な対応方針を判断するための見積依頼を目的とした起票である。見積もり結果を踏まえて開発要否・対応方針を厚労省にて検討する。</t>
    <phoneticPr fontId="2"/>
  </si>
  <si>
    <t>212</t>
    <phoneticPr fontId="2"/>
  </si>
  <si>
    <t>212-1</t>
    <phoneticPr fontId="2"/>
  </si>
  <si>
    <t>3文書6情報</t>
    <rPh sb="1" eb="3">
      <t>ブンショ</t>
    </rPh>
    <rPh sb="4" eb="6">
      <t>ジョウホウ</t>
    </rPh>
    <phoneticPr fontId="2"/>
  </si>
  <si>
    <t>ログ・統計機能の改修（R8追加起票）</t>
    <phoneticPr fontId="2"/>
  </si>
  <si>
    <t>9/14 ACN山川
2026/9/7開発課題検討会での合意事項を踏まえて、案件ID163統計ログ案件に関わる追加起票を行う。R8年度案件として新規起票。</t>
    <rPh sb="8" eb="10">
      <t>ヤマカワ</t>
    </rPh>
    <rPh sb="19" eb="26">
      <t>カイハツカダイケントウカイ</t>
    </rPh>
    <rPh sb="28" eb="32">
      <t>ゴウイジコウ</t>
    </rPh>
    <rPh sb="33" eb="34">
      <t>フ</t>
    </rPh>
    <rPh sb="38" eb="40">
      <t>アンケン</t>
    </rPh>
    <rPh sb="45" eb="47">
      <t>トウケイ</t>
    </rPh>
    <rPh sb="49" eb="51">
      <t>アンケン</t>
    </rPh>
    <rPh sb="52" eb="53">
      <t>カカ</t>
    </rPh>
    <rPh sb="55" eb="57">
      <t>ツイカ</t>
    </rPh>
    <rPh sb="57" eb="59">
      <t>キヒョウ</t>
    </rPh>
    <rPh sb="60" eb="61">
      <t>オコナ</t>
    </rPh>
    <rPh sb="65" eb="69">
      <t>ネンドアンケン</t>
    </rPh>
    <rPh sb="72" eb="76">
      <t>シンキキヒョウ</t>
    </rPh>
    <phoneticPr fontId="2"/>
  </si>
  <si>
    <t>ACN山川</t>
    <rPh sb="3" eb="5">
      <t>ヤマカワ</t>
    </rPh>
    <phoneticPr fontId="2"/>
  </si>
  <si>
    <t>案件ID163統計ログ案件において、追加で取得が必要となったログの項目を追加する。</t>
    <rPh sb="18" eb="20">
      <t>ツイカ</t>
    </rPh>
    <rPh sb="21" eb="23">
      <t>シュトク</t>
    </rPh>
    <rPh sb="24" eb="26">
      <t>ヒツヨウ</t>
    </rPh>
    <rPh sb="33" eb="35">
      <t>コウモク</t>
    </rPh>
    <rPh sb="36" eb="38">
      <t>ツイカ</t>
    </rPh>
    <phoneticPr fontId="2"/>
  </si>
  <si>
    <t>■起票背景
・案件163において、厚労省・基金が、保険者に本サービスの運用負担金の調整を行うときに、保険者が運用負担することによる利点を説明するため、また、電子カルテ情報共有サービスの普及を推進するために電子カルテ情報共有サービスの統計ログの項目を追加した。
・案件163の詳細設計を検討していく中で、より具体的に電子カルテ情報共有サービスの利用実態を把握するために、追加のログの取得が必要となった。
■起票目的
・具体的に電子カルテ情報共有サービスの利用実態を把握し、電子カルテ情報共有サービスの普及を推進する。</t>
    <rPh sb="1" eb="5">
      <t>キヒョウハイケイ</t>
    </rPh>
    <rPh sb="203" eb="207">
      <t>キヒョウモクテキ</t>
    </rPh>
    <phoneticPr fontId="2"/>
  </si>
  <si>
    <t>具体的に電子カルテ情報共有サービスの利用実態を把握し、電子カルテ情報共有サービスの普及を推進することができる</t>
    <phoneticPr fontId="2"/>
  </si>
  <si>
    <t>■要求事項
機能：ログ出力機能
ログの内容：
1．健診文書に関する統計
&lt;オン資基盤への登録&gt;
①本サービスをとおして医療機関から登録された健診種別ごとの文書登録数
　　年単位／月単位での 
　　　・健診種別ごとの健診文書登録数
　　　・保険者種別（法別番号）ごとの健診文書登録数
　　　・各保険者ごとの健診文書登録数
➁本サービスにおいて医療機関から更新された健診種別ごとの文書登録数
　　年単位／月単位での 
　　　・健診種別ごとの健診文書更新数
　　　・保険者種別（法別番号）ごとの健診文書更新数
　　　・各保険者ごとの健診文書更新数
&lt;医療機関からの閲覧&gt;
➂既存ルート（随時報告・法定報告）由来の健診登録データのみで構成される健診文書がXMLで取得された件数
　　年／月／週単位、医療機関単位で
　　　・XMLが取得された件数
　　　・健診文書XMLが取得された患者の数（患者資格数）
④既存ルート（随時報告・法定報告）由来の健診登録データのみで構成される健診文書がPDFで取得された件数
　　年／月／週単位、医療機関単位で
　　　・PDFが取得された件数
　　　・健診文書PDFが取得された患者の数（患者資格数）
⑤本サービスのみで登録され、既存ルートから登録されていない健診文書がXMLで取得された件数
　　年／月／週単位、医療機関単位で
　　　・XMLが取得された件数
　　　・健診文書XMLが取得された患者の数（患者資格数）
⑥本サービスのみで登録され、既存ルートから登録されていない健診文書がPDFで取得された件数
　　年／月／週単位、医療機関単位で
　　　・PDFが取得された件数
　　　・健診文書PDFが取得された患者の数（患者資格数）</t>
    <phoneticPr fontId="2"/>
  </si>
  <si>
    <t>213</t>
    <phoneticPr fontId="2"/>
  </si>
  <si>
    <t>213-1</t>
    <phoneticPr fontId="2"/>
  </si>
  <si>
    <t>臨床情報詳細画面の傷病名をPDFと同様に出力する対応</t>
    <phoneticPr fontId="2"/>
  </si>
  <si>
    <t>9/25 起票</t>
    <rPh sb="5" eb="7">
      <t>キヒョウ</t>
    </rPh>
    <phoneticPr fontId="2"/>
  </si>
  <si>
    <t>196：オンライン資格確認端末の臨床情報検索画面・詳細画面のレイアウト変更
からの追加案件。
臨床情報詳細画面の傷病名をPDFと同様に出力する。</t>
    <phoneticPr fontId="2"/>
  </si>
  <si>
    <t>臨床情報詳細画面とPDFの出力差異による齟齬を極力最小限にする</t>
    <rPh sb="0" eb="8">
      <t>リンショウジョウホウショウサイガメン</t>
    </rPh>
    <rPh sb="13" eb="15">
      <t>シュツリョク</t>
    </rPh>
    <rPh sb="15" eb="17">
      <t>サイ</t>
    </rPh>
    <rPh sb="20" eb="22">
      <t>ソゴ</t>
    </rPh>
    <rPh sb="23" eb="28">
      <t>キョクリョクサイショウゲン</t>
    </rPh>
    <phoneticPr fontId="2"/>
  </si>
  <si>
    <t>オン資端末における自院の臨床情報閲覧</t>
    <phoneticPr fontId="2"/>
  </si>
  <si>
    <t>臨床情報詳細画面の傷病名出力内容の改修について
　修正前：TEXT値
　修正後：[前置修飾語]＋[傷病名]＋[後置修飾語]＋[後置修飾語（疑）]
　　　　　　　※ダミーコードの場合はTEXT値</t>
    <phoneticPr fontId="2"/>
  </si>
  <si>
    <t>214</t>
    <phoneticPr fontId="2"/>
  </si>
  <si>
    <t>214-1</t>
    <phoneticPr fontId="2"/>
  </si>
  <si>
    <t>健診項目の拡充</t>
    <rPh sb="0" eb="2">
      <t>ケンシン</t>
    </rPh>
    <rPh sb="2" eb="4">
      <t>コウモク</t>
    </rPh>
    <rPh sb="5" eb="7">
      <t>カクジュウ</t>
    </rPh>
    <phoneticPr fontId="2"/>
  </si>
  <si>
    <t>2026/9/25 ACN黒川（厚労ACN更新中）
令和9年度案件として新規起票。</t>
    <rPh sb="26" eb="28">
      <t>レイワ</t>
    </rPh>
    <rPh sb="29" eb="31">
      <t>ネンド</t>
    </rPh>
    <rPh sb="31" eb="33">
      <t>アンケン</t>
    </rPh>
    <rPh sb="36" eb="38">
      <t>シンキ</t>
    </rPh>
    <rPh sb="38" eb="40">
      <t>キヒョウ</t>
    </rPh>
    <phoneticPr fontId="2"/>
  </si>
  <si>
    <t>健診項目を拡充する</t>
    <rPh sb="0" eb="2">
      <t>ケンシン</t>
    </rPh>
    <rPh sb="2" eb="4">
      <t>コウモク</t>
    </rPh>
    <rPh sb="5" eb="7">
      <t>カクジュウ</t>
    </rPh>
    <phoneticPr fontId="2"/>
  </si>
  <si>
    <t>■起票背景
・現在、電子カルテ情報共有サービスにおいては、151項目の健診項目が他医療機関・患者・保険者へ共有される。
・一方で、保険者より、健診項目の拡充することで保険者において、以下のような理由から保険者が電子カルテ情報共有サービスを利用するメリットとなる。
・ 特定健診などに纏わる項目以上に健診結果を取得することができ、より適切に加入者に対して受診勧奨や健康増進の施策を行うことができる。
・追加となった健診項目のフォーマットが統一される
■目的
・電子カルテ情報共有サービスで共有できる健診項目を増やし、他医療機関・患者・保険者における電子カルテ情報共有サービスの利用を増進させること</t>
    <rPh sb="1" eb="5">
      <t>キヒョウハイケイ</t>
    </rPh>
    <rPh sb="226" eb="228">
      <t>モクテキ</t>
    </rPh>
    <phoneticPr fontId="2"/>
  </si>
  <si>
    <t>電子カルテ情報共有サービスでより多くの健診項目を共有・閲覧できるようになる</t>
    <rPh sb="0" eb="2">
      <t>デンシ</t>
    </rPh>
    <rPh sb="5" eb="9">
      <t>ジョウホウキョウユウ</t>
    </rPh>
    <rPh sb="16" eb="17">
      <t>オオ</t>
    </rPh>
    <rPh sb="19" eb="21">
      <t>ケンシン</t>
    </rPh>
    <rPh sb="21" eb="23">
      <t>コウモク</t>
    </rPh>
    <rPh sb="24" eb="26">
      <t>キョウユウ</t>
    </rPh>
    <rPh sb="27" eb="29">
      <t>エツラン</t>
    </rPh>
    <phoneticPr fontId="2"/>
  </si>
  <si>
    <t>要件定義に向けた起票であるため、現時点において要求事項は空欄</t>
    <rPh sb="0" eb="2">
      <t>ヨウケン</t>
    </rPh>
    <rPh sb="2" eb="4">
      <t>テイギ</t>
    </rPh>
    <rPh sb="5" eb="6">
      <t>ム</t>
    </rPh>
    <rPh sb="8" eb="10">
      <t>キヒョウ</t>
    </rPh>
    <rPh sb="16" eb="19">
      <t>ゲンジテン</t>
    </rPh>
    <rPh sb="23" eb="25">
      <t>ヨウキュウ</t>
    </rPh>
    <rPh sb="25" eb="27">
      <t>ジコウ</t>
    </rPh>
    <rPh sb="28" eb="30">
      <t>クウラン</t>
    </rPh>
    <phoneticPr fontId="2"/>
  </si>
  <si>
    <t>215</t>
    <phoneticPr fontId="2"/>
  </si>
  <si>
    <t>215-1</t>
    <phoneticPr fontId="2"/>
  </si>
  <si>
    <t>保険医療機関（歯科）の診療情報提供書</t>
    <rPh sb="0" eb="2">
      <t>ホケン</t>
    </rPh>
    <rPh sb="2" eb="4">
      <t>イリョウ</t>
    </rPh>
    <rPh sb="4" eb="6">
      <t>キカン</t>
    </rPh>
    <rPh sb="7" eb="9">
      <t>シカ</t>
    </rPh>
    <rPh sb="11" eb="18">
      <t>シンリョウジョウホウテイキョウショ</t>
    </rPh>
    <phoneticPr fontId="2"/>
  </si>
  <si>
    <t>保険医療機関（歯科）も、保険医療機関（医科）と同様に診療情報提供書の利用ができるようにする</t>
    <phoneticPr fontId="2"/>
  </si>
  <si>
    <t>■起票背景
現在保険医療機関(歯科)は、電子カルテ情報共有サービスの提供サービスのうち、「文書情報(診療情報提供書・退院時サマリ)の登録・照会・編集（電子署名含む）」及び「文書情報(診療情報提供書・退院時サマリ)の取得・閲覧・保存」は利用できない整理になっている。（医科歯科併設医療機関を除く）
■目的
保険医療機関（歯科）においても、保険医療機関（医科）が利用している「文書情報(診療情報提供書・退院時サマリ)の登録・照会・編集（電子署名含む）」及び「文書情報(診療情報提供書・退院時サマリ)の取得・閲覧・保存」の機能を同条件で利用できるようにする。</t>
    <rPh sb="1" eb="3">
      <t>キヒョウ</t>
    </rPh>
    <rPh sb="3" eb="5">
      <t>ハイケイ</t>
    </rPh>
    <rPh sb="150" eb="152">
      <t>モクテキキヒョウハイケイショウカイモトイリョウキカンショウカイジョウトウロクサイテンプジョウホウトウロクムガイカショリナドナンリユウシッパイイリョウキカンブンショジョウホウトウロクショウカイサキイリョウキカンジシセツアブンショジョウホウイチランヨウキュウケッカジシセツアテトウガイブンショジョウホウノブンショジョウホウソンザイケンチブンショジョウホウシュトクジショウハッセイカイゼンアンミシュトクイガイブンショジョウホウモブンショテンプジョウホウトウロクテンプミトウロクムガイカショリシッパイムガイカショリナドジシセツアブンショジョウホウ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</si>
  <si>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保険医療機関（歯科）においても、保険医療機関（医科）と同等の条件で文書送受信サービスが利用できるようになる</t>
    <rPh sb="27" eb="29">
      <t>ドウトウ</t>
    </rPh>
    <rPh sb="30" eb="32">
      <t>ジョウケン</t>
    </rPh>
    <rPh sb="43" eb="45">
      <t>リヨウ</t>
    </rPh>
    <phoneticPr fontId="2"/>
  </si>
  <si>
    <t>2文書の登録・閲覧</t>
    <rPh sb="1" eb="3">
      <t>ブンショ</t>
    </rPh>
    <rPh sb="4" eb="6">
      <t>トウロク</t>
    </rPh>
    <rPh sb="7" eb="9">
      <t>エツラン</t>
    </rPh>
    <phoneticPr fontId="2"/>
  </si>
  <si>
    <t>■要求事項
保険医療機関（歯科）において保険医療機関（医科）が利用している「文書情報(診療情報提供書・退院時サマリ)の登録・照会・編集（電子署名含む）」及び「文書情報(診療情報提供書・退院時サマリ)の取得・閲覧・保存」の機能を同条件で利用できるように改修する。
保険医療機関（歯科）が文書情報の登録・取得（電子署名・署名検証含む）を行えるように改修するにあたり、「既存の医科歯科併設医療機関の取り扱い仕様（医療機関等マスタの追加、医療機関番号のバリデーションチェック等）」における必要な改修も行う。</t>
    <rPh sb="1" eb="3">
      <t>ヨウキュウ</t>
    </rPh>
    <rPh sb="3" eb="5">
      <t>ジコウ</t>
    </rPh>
    <phoneticPr fontId="2"/>
  </si>
  <si>
    <t>216</t>
    <phoneticPr fontId="2"/>
  </si>
  <si>
    <t>216-1</t>
    <phoneticPr fontId="2"/>
  </si>
  <si>
    <t>全体</t>
    <rPh sb="0" eb="2">
      <t>ゼンタイ</t>
    </rPh>
    <phoneticPr fontId="2"/>
  </si>
  <si>
    <t>サポートするプロファイルバージョンの終了(令和9年度)</t>
    <rPh sb="24" eb="25">
      <t>ネン</t>
    </rPh>
    <rPh sb="25" eb="26">
      <t>ド</t>
    </rPh>
    <phoneticPr fontId="2"/>
  </si>
  <si>
    <t>CLINS1.12.0版をシステム的に利用できないようにする</t>
    <phoneticPr fontId="2"/>
  </si>
  <si>
    <t>■起票背景
・CLINS1.13.0より、感染症において患者共有フラグをFHIRで記述できるように改修を行った。
・全国的な運用開始版の技術解説書では、CLINS1.13.0版のプロファイルに対応することと記述する予定である。
■目的
・技術解説書(運用開始版)で対象としていないプロファイルバージョンについて、システム的に利用終了とする</t>
    <rPh sb="1" eb="3">
      <t>キヒョウ</t>
    </rPh>
    <rPh sb="3" eb="5">
      <t>ハイケイ</t>
    </rPh>
    <rPh sb="116" eb="118">
      <t>モクテキ</t>
    </rPh>
    <phoneticPr fontId="2"/>
  </si>
  <si>
    <t>あり
※周知済み</t>
    <rPh sb="4" eb="6">
      <t>シュウチ</t>
    </rPh>
    <rPh sb="6" eb="7">
      <t>ズ</t>
    </rPh>
    <phoneticPr fontId="2"/>
  </si>
  <si>
    <t>標準マスタ・プロファイル</t>
    <rPh sb="0" eb="2">
      <t>ヒョウジュン</t>
    </rPh>
    <phoneticPr fontId="2"/>
  </si>
  <si>
    <t>■機能：すべて
■内容：
以下のプロファイルのバージョンをシステム的に利用終了とする。
CLINS：1.12.0</t>
    <phoneticPr fontId="2"/>
  </si>
  <si>
    <t>モデル医療機関へは2026年9月に周知済み</t>
    <phoneticPr fontId="2"/>
  </si>
  <si>
    <t>217</t>
    <phoneticPr fontId="2"/>
  </si>
  <si>
    <t>217-1</t>
    <phoneticPr fontId="2"/>
  </si>
  <si>
    <t>健診文書の登録について保険者へ連携する同意がなくても登録可能とする</t>
    <rPh sb="0" eb="2">
      <t>ケンシン</t>
    </rPh>
    <rPh sb="2" eb="4">
      <t>ブンショ</t>
    </rPh>
    <rPh sb="5" eb="7">
      <t>トウロク</t>
    </rPh>
    <rPh sb="11" eb="13">
      <t>ホケン</t>
    </rPh>
    <rPh sb="13" eb="14">
      <t>ジャ</t>
    </rPh>
    <rPh sb="15" eb="17">
      <t>レンケイ</t>
    </rPh>
    <rPh sb="19" eb="21">
      <t>ドウイ</t>
    </rPh>
    <rPh sb="26" eb="28">
      <t>トウロク</t>
    </rPh>
    <rPh sb="28" eb="30">
      <t>カノウ</t>
    </rPh>
    <phoneticPr fontId="2"/>
  </si>
  <si>
    <t>健診文書について、患者が保険者への連携することに同意がない場合においても、中央基盤へ送れるようにし、患者本人や患者本人が同意した医療機関にて健診結果を閲覧できるようにする</t>
    <phoneticPr fontId="2"/>
  </si>
  <si>
    <t>■起票背景
・健診情報を電子カルテ情報共有サービスに登録する際には、患者から以下の同意を取得する運用となっている。
「保健事業への活用のために、電子カルテ情報共有サービスを利用して、社会保険診療報酬支払基金を通じて、あなたが健診実施日に加入している保険者へ本健診結果を提供することに同意しますか。」
・当該同意は、中央基盤から健診実施日に受診者が加入している保険者へ健診結果を提供することに対する同意であり、健診実施機関から中央基盤へ健診情報を登録すること自体については、法令上、受診者の同意は不要である。
■目的
・保険者への健診結果の提供に係る同意と、健診文書の中央基盤への登録および他の医療機関・患者本人への共有を切り分け、患者が保険者への提供に同意しない場合であっても、必要に応じて他の医療機関や患者本人へ健診情報を共有できる運用とする。</t>
    <rPh sb="1" eb="5">
      <t>キヒョウハイケイ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</si>
  <si>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218</t>
    <phoneticPr fontId="2"/>
  </si>
  <si>
    <t>218-1</t>
    <phoneticPr fontId="2"/>
  </si>
  <si>
    <t>検査・感染症の検査結果に対する注意事項の追記</t>
    <rPh sb="0" eb="2">
      <t>ケンサ</t>
    </rPh>
    <rPh sb="3" eb="6">
      <t>カンセンショウ</t>
    </rPh>
    <rPh sb="7" eb="9">
      <t>ケンサ</t>
    </rPh>
    <rPh sb="9" eb="11">
      <t>ケッカ</t>
    </rPh>
    <rPh sb="12" eb="13">
      <t>タイ</t>
    </rPh>
    <rPh sb="15" eb="17">
      <t>チュウイ</t>
    </rPh>
    <rPh sb="17" eb="19">
      <t>ジコウ</t>
    </rPh>
    <rPh sb="20" eb="22">
      <t>ツイキ</t>
    </rPh>
    <phoneticPr fontId="2"/>
  </si>
  <si>
    <t>検査・感染症の検査結果において「検出せず」の場合においても、検査結果「０」で登録されるケースがある旨をPDF上に表示する</t>
    <rPh sb="16" eb="18">
      <t>ケンシュツ</t>
    </rPh>
    <phoneticPr fontId="2"/>
  </si>
  <si>
    <t>■起票背景
・感染症検査等では、試薬・測定系の検出限界／定量下限の特性により、以下の2種類の「数値が得られない」結果が存在する。
　- 「検出せず」：測定対象が検出されない（検出限界未満）
　- 「定量下限未満」：測定対象の存在は確認できるが、定量下限を下回るため数値として定量できない
・電子カルテ情報共有サービス（CLINS）では、定量検査の結果について、数値を設定するか「検査結果を登録できない理由」を設定する仕様となっている。ただし、「登録できない理由」を設定した場合、当該検査結果は他医療機関へ共有されない。
・一方で感染症検査では、病原体が「検出されなかった」という事実自体が、診療上有用な情報となる場合がある。
・しかし、現行の案内では「検出せず」の場合は登録対象外としているため、他医療機関では、検査を実施した結果として「検出されなかった」のか、そもそも検査結果が登録されていないのかを判別できない。
■目的
・検査・感染症情報の閲覧時に、「0」には「検出せず」が含まれる場合があることを注意書きにより明示し、医療従事者及び患者が結果を適切に解釈できるようにする。</t>
    <rPh sb="1" eb="3">
      <t>キヒョウ</t>
    </rPh>
    <rPh sb="3" eb="5">
      <t>ハイケイ</t>
    </rPh>
    <rPh sb="411" eb="413">
      <t>モクテキ</t>
    </rPh>
    <phoneticPr fontId="2"/>
  </si>
  <si>
    <t>臨床情報閲覧</t>
    <rPh sb="0" eb="2">
      <t>リンショウ</t>
    </rPh>
    <rPh sb="2" eb="4">
      <t>ジョウホウ</t>
    </rPh>
    <rPh sb="4" eb="6">
      <t>エツラン</t>
    </rPh>
    <phoneticPr fontId="2"/>
  </si>
  <si>
    <t>※精査中
_x000B_要求事項①
■機能：PDF帳票での臨床情報・患者サマリー出力機能(他医療機関向け臨床情報PDF・マイナポータル向け臨床情報PDF・マイナポータル向け患者サマリーPDF)
■内容：PDF帳票の下部の注意書き欄に、結果値「0」には「検出せず」が含まれる場合がある旨を周知する注意書きを追記する。
■備考：
・表示する文言については、厚労省にて引き続き検討を行う。
・マイナポータルにおけるFAQにおいても必要に応じて結果値「0」には「検出せず」が含まれる場合がある旨を周知する。
要求事項②_x000B_■機能：資格確認端末の臨床情報詳細画面の表示機能
■内容：ページ下部の注意書き欄に、結果値「0」には「検出せず」が含まれる場合がある旨を周知する注意書きを追記する。</t>
    <rPh sb="153" eb="155">
      <t>ビコウ</t>
    </rPh>
    <phoneticPr fontId="2"/>
  </si>
  <si>
    <t>・表示する文言については、厚労省にて引き続き検討を行う。
・マイナポータルにおけるFAQにおいても必要に応じて結果値「0」には「検出せず」が含まれる場合がある旨を周知する。</t>
    <phoneticPr fontId="2"/>
  </si>
  <si>
    <t>219</t>
    <phoneticPr fontId="2"/>
  </si>
  <si>
    <t>219-1</t>
    <phoneticPr fontId="2"/>
  </si>
  <si>
    <t>医療機関の承継が発生した際における患者サマリーのマイナポでの処方情報・検査情報の表示対象範囲の正規化</t>
    <phoneticPr fontId="2"/>
  </si>
  <si>
    <t>基金内部検知/要望</t>
    <rPh sb="0" eb="2">
      <t>キキン</t>
    </rPh>
    <phoneticPr fontId="2"/>
  </si>
  <si>
    <t>承継後の医療機関にて登録された患者サマリについて、承継元医療機関として登録した処方情報・検査情報も含めた指導日から30日間分の処方情報・検査情報を抽出・表示する仕様とする</t>
    <rPh sb="80" eb="82">
      <t>シヨウ</t>
    </rPh>
    <phoneticPr fontId="2"/>
  </si>
  <si>
    <t>■起票背景
・患者サマリーに表示される検査・処方情報は、患者サマリー(FHIRデータ)内に記述されている医療機関コードをキーとして、処方情報・検査情報側の医療機関コードと紐づけることで抽出・表示される仕様となっている。
・指導実施医療機関にて承継が行われた場合、承継元旧医療機関コードが記述されている検査・処方情報は抽出・表示されない。
・技術解説書上では「同一医療機関が指導日から直近過去30日間に登録した情報を表示する」と記載されている。
■目的
承継後に登録された患者サマリについて、承継前に実施した処方情報・検査情報についても抽出・表示することを可能とする。</t>
    <rPh sb="1" eb="3">
      <t>キヒョウ</t>
    </rPh>
    <rPh sb="3" eb="5">
      <t>ハイケイ</t>
    </rPh>
    <rPh sb="224" eb="226">
      <t>モクテキ</t>
    </rPh>
    <phoneticPr fontId="2"/>
  </si>
  <si>
    <t>承継前の医療機関で登録された処方情報・検査情報についても、承継後に登録された患者サマリーで閲覧可能となる。</t>
    <rPh sb="0" eb="2">
      <t>ショウケイ</t>
    </rPh>
    <rPh sb="2" eb="3">
      <t>マエ</t>
    </rPh>
    <rPh sb="4" eb="6">
      <t>イリョウ</t>
    </rPh>
    <rPh sb="6" eb="8">
      <t>キカン</t>
    </rPh>
    <rPh sb="9" eb="11">
      <t>トウロク</t>
    </rPh>
    <rPh sb="14" eb="16">
      <t>ショホウ</t>
    </rPh>
    <rPh sb="16" eb="18">
      <t>ジョウホウ</t>
    </rPh>
    <rPh sb="19" eb="21">
      <t>ケンサ</t>
    </rPh>
    <rPh sb="21" eb="23">
      <t>ジョウホウ</t>
    </rPh>
    <rPh sb="29" eb="31">
      <t>ショウケイ</t>
    </rPh>
    <rPh sb="31" eb="32">
      <t>ゴ</t>
    </rPh>
    <rPh sb="33" eb="35">
      <t>トウロク</t>
    </rPh>
    <rPh sb="38" eb="40">
      <t>カンジャ</t>
    </rPh>
    <rPh sb="45" eb="47">
      <t>エツラン</t>
    </rPh>
    <rPh sb="47" eb="49">
      <t>カノウ</t>
    </rPh>
    <phoneticPr fontId="2"/>
  </si>
  <si>
    <t>■機能
　患者サマリーにおける処方情報・検査情報の抽出・表示機能　
■内容
承継後の医療機関にて登録された患者サマリについて、承継元医療機関として登録した処方情報・検査情報も含めた指導日から30日間分の処方情報・検査情報を抽出・表示する仕様に変更する。</t>
    <phoneticPr fontId="2"/>
  </si>
  <si>
    <t>220</t>
    <phoneticPr fontId="2"/>
  </si>
  <si>
    <t>220-1</t>
    <phoneticPr fontId="2"/>
  </si>
  <si>
    <t>承継申請に基づく医療機関コードの変換処理における旧医療機関発行した患者サマリーの挙動の変更</t>
    <phoneticPr fontId="2"/>
  </si>
  <si>
    <t>指導日が承継日より前の患者サマリーの登録(更新処理の一環としての登録)の場合には、医療機関名・医療機関コードを承継先医療機関に変換する処理の対象外とする。</t>
    <phoneticPr fontId="2"/>
  </si>
  <si>
    <t>■起票背景
・案件141(FHIRデータに記録される医療機関コードが同一文字列であることのアドオンチェックの条件追加（新旧医療機関コード混在を許容する))において、承継の届出が医療機関等向け総合ポータルサイトにて行われている場合は、承継先の医療機関名称を表示する改修を行った。
・案件141の結果、承継元医療機関で登録した患者サマリーを承継後の医療機関において更新を行った場合、「指導医療機関：承継先医療機関」と表示される。
■目的
・更新前後で表示される指導医療機関名称が変わることを防ぎ、患者サマリーを閲覧する患者が混乱しないようにする。</t>
    <rPh sb="1" eb="5">
      <t>キヒョウハイケイ</t>
    </rPh>
    <rPh sb="215" eb="217">
      <t>モクテキ</t>
    </rPh>
    <phoneticPr fontId="2"/>
  </si>
  <si>
    <t>更新の前後で患者が閲覧する医療機関名が変わらないようになる</t>
    <rPh sb="0" eb="2">
      <t>コウシン</t>
    </rPh>
    <rPh sb="3" eb="5">
      <t>ゼンゴ</t>
    </rPh>
    <rPh sb="6" eb="8">
      <t>カンジャ</t>
    </rPh>
    <rPh sb="9" eb="11">
      <t>エツラン</t>
    </rPh>
    <rPh sb="13" eb="15">
      <t>イリョウ</t>
    </rPh>
    <rPh sb="15" eb="17">
      <t>キカン</t>
    </rPh>
    <rPh sb="17" eb="18">
      <t>メイ</t>
    </rPh>
    <rPh sb="19" eb="20">
      <t>カ</t>
    </rPh>
    <phoneticPr fontId="2"/>
  </si>
  <si>
    <t>■機能
　患者サマリーの登録機能
■内容
指導日が承継日より前の患者サマリーの登録(更新処理の一環としての登録)の場合には、医療機関名・医療機関コードを承継先医療機関に変換する処理の対象外とする。</t>
    <phoneticPr fontId="2"/>
  </si>
  <si>
    <t>221</t>
  </si>
  <si>
    <t>221-1</t>
  </si>
  <si>
    <t>臨床情報：感染症・検査</t>
    <phoneticPr fontId="2"/>
  </si>
  <si>
    <t>検査感染症 43+5項目のデータ登録時にJLAC11コード・JLAC10コードが併記されている場合にJLAC11コードを優先して出力する</t>
    <phoneticPr fontId="2"/>
  </si>
  <si>
    <t>ONS（CC含む）</t>
  </si>
  <si>
    <t>DX審査支払機構</t>
  </si>
  <si>
    <t>内田</t>
  </si>
  <si>
    <t>Observation.code値に43+5項目のJLAC11コードとJLAC10コードが併記されている場合、出力時にJLAC11を優先とする。</t>
    <phoneticPr fontId="2"/>
  </si>
  <si>
    <t>■起票背景
医療機関から提供される検査・感染症項目について、JLAC11コードとJLAC10コードの両方が併記されている場合、現在はJLAC10コードを優先して出力している。これは、開発当時、JLAC10が主流であったことを踏まえた仕様である。
■目的
今後はJLAC11コードの普及が進むことが見込まれている。今回の9月リリースにおいて、医療機関側で検査結果を1検査1単位に変換することなく、複数単位での登録・管理を許容できるようJLAC11マスタが整備されていることも、JLAC11コードの普及を後押しする背景の一つである。
これらを踏まえ、JLACセンター及び厚生労働省において今後のJLAC11コードの普及が進められていることも考慮し、JLAC11コードとJLAC10コードが併記されている場合は、JLAC11コードを優先して出力する仕様に変更するものである。</t>
    <phoneticPr fontId="2"/>
  </si>
  <si>
    <t>単位変換の主キーが特定でき、マイナポータルにおける単位変換が行える</t>
  </si>
  <si>
    <t>検査・感染症の出力</t>
  </si>
  <si>
    <t>■機能
オンライン資格確認システムからの出力機能
　PDF/XML（ただしPHR事業者はXMLのみ）
　・臨床情報出力
　・患者サマリ
■内容
検査感染症「43＋5項目」のデータについて、JLAC11コードとJLAC10コードの両方が併記されている場合、JLAC11コードを優先して出力するよう修正する。</t>
  </si>
  <si>
    <t>222</t>
  </si>
  <si>
    <t>222-1</t>
    <phoneticPr fontId="2"/>
  </si>
  <si>
    <t>全体</t>
  </si>
  <si>
    <t>臨床情報等のXMLから出力する文字の黒丸対応(文字コードの固定/拡張)</t>
  </si>
  <si>
    <t>2026/10/5 ACN本田
令和9年度案件として新規起票</t>
    <rPh sb="13" eb="15">
      <t>ホンダ</t>
    </rPh>
    <rPh sb="16" eb="18">
      <t>レイワ</t>
    </rPh>
    <rPh sb="19" eb="21">
      <t>ネンド</t>
    </rPh>
    <rPh sb="21" eb="23">
      <t>アンケン</t>
    </rPh>
    <rPh sb="26" eb="28">
      <t>シンキ</t>
    </rPh>
    <rPh sb="28" eb="30">
      <t>キヒョウ</t>
    </rPh>
    <phoneticPr fontId="2"/>
  </si>
  <si>
    <t>臨床情報をXMLで取得する際に黒丸の表示とならないように文字コードに関して改修する</t>
  </si>
  <si>
    <t>■起票背景
・現在、オンライン資格確認から出力される情報は資格確認端末において文字コード(S-JISかUTF-8か)を選択することができる。
・オンライン資格確認の結果はレセプト請求にて利用されており、レセプト請求に用いるレセコンがSJISにしか対応していないことから、多くの医療機関はS-JISの文字設定にしている。_x000B_・S-JISを選択した場合、臨床情報DBに保存されているUTF-8の文字コードからS-JISに変換する際に、S-JISで表示できない文字が含まれると、該当文字が●(黒丸)として表示される。
・現在の傷病名においてもS-JIS第1水準・第2水準に掲載されていない病名が存在することが想定されるうえ、今後歯科情報など情報拡張するとS-JIS第1水準・第2水準で表現できない表記が増える。
■目的
・臨床情報のXMLの閲覧時に黒丸表示されないようにする</t>
    <rPh sb="1" eb="5">
      <t>キヒョウハイケイ</t>
    </rPh>
    <rPh sb="353" eb="356">
      <t>シカクモクテキ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</si>
  <si>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臨床情報のXMLの閲覧時に黒丸表示されないようになる</t>
    <phoneticPr fontId="2"/>
  </si>
  <si>
    <t>オン資・電子処方箋・JAHIS</t>
    <rPh sb="2" eb="3">
      <t>シ</t>
    </rPh>
    <rPh sb="4" eb="9">
      <t>デンシショホウセン</t>
    </rPh>
    <phoneticPr fontId="2"/>
  </si>
  <si>
    <t>令和9年度</t>
    <rPh sb="0" eb="2">
      <t>レイワ</t>
    </rPh>
    <rPh sb="3" eb="4">
      <t>ネン</t>
    </rPh>
    <rPh sb="4" eb="5">
      <t>ド</t>
    </rPh>
    <phoneticPr fontId="2"/>
  </si>
  <si>
    <t>臨床情報等の閲覧</t>
    <rPh sb="0" eb="4">
      <t>リンショウジョウホウ</t>
    </rPh>
    <rPh sb="4" eb="5">
      <t>ナド</t>
    </rPh>
    <rPh sb="6" eb="8">
      <t>エツラン</t>
    </rPh>
    <phoneticPr fontId="2"/>
  </si>
  <si>
    <t>※精査中
対応案①_x000B_資格確認端末の環境設定画面において、SJISが選択されている場合においても、電子カルテ情報共有サービスの臨床情報・健診情報(XML)提供時のみはUTF-8で返却する
対応案②
資格確認端末で「SJIS」を選択した場合において、文字コードをS-JIS第3水準・第4水準にまで拡張し、利用できる文字種別を増やす。</t>
    <phoneticPr fontId="2"/>
  </si>
  <si>
    <t>223</t>
  </si>
  <si>
    <t>223-1</t>
    <phoneticPr fontId="2"/>
  </si>
  <si>
    <t>電子署名の危殆化対応</t>
  </si>
  <si>
    <t>R9年度以降開発案件情報共有会</t>
    <rPh sb="2" eb="3">
      <t>ネン</t>
    </rPh>
    <rPh sb="3" eb="4">
      <t>ド</t>
    </rPh>
    <rPh sb="4" eb="6">
      <t>イコウ</t>
    </rPh>
    <rPh sb="6" eb="8">
      <t>カイハツ</t>
    </rPh>
    <rPh sb="8" eb="10">
      <t>アンケン</t>
    </rPh>
    <rPh sb="10" eb="12">
      <t>ジョウホウ</t>
    </rPh>
    <rPh sb="12" eb="14">
      <t>キョウユウ</t>
    </rPh>
    <rPh sb="14" eb="15">
      <t>カイ</t>
    </rPh>
    <phoneticPr fontId="2"/>
  </si>
  <si>
    <t>電子署名における危殆化に対応するために、TSAのセキュリティを高める。</t>
  </si>
  <si>
    <t xml:space="preserve">■起票背景
・患者サマリーでは、電子処方箋管理サービスで登録された処方情報を閲覧する整理となっている
・現在、患者サマリーで閲覧できる情報が院外処方のみに制限された仕様となっている
■目的
・患者サマリーにて、院内処方の情報も閲覧できるようにする
</t>
    <rPh sb="1" eb="5">
      <t>キヒョウハイケイ</t>
    </rPh>
    <rPh sb="7" eb="9">
      <t>カンジャ</t>
    </rPh>
    <rPh sb="16" eb="23">
      <t>デンシショホウセンカンリ</t>
    </rPh>
    <rPh sb="28" eb="30">
      <t>トウロク</t>
    </rPh>
    <rPh sb="33" eb="35">
      <t>ショホウ</t>
    </rPh>
    <rPh sb="35" eb="37">
      <t>ジョウホウ</t>
    </rPh>
    <rPh sb="38" eb="40">
      <t>エツラン</t>
    </rPh>
    <rPh sb="42" eb="44">
      <t>セイリ</t>
    </rPh>
    <rPh sb="52" eb="54">
      <t>ゲンザイ</t>
    </rPh>
    <rPh sb="55" eb="57">
      <t>カンジャ</t>
    </rPh>
    <rPh sb="62" eb="64">
      <t>エツラン</t>
    </rPh>
    <rPh sb="67" eb="69">
      <t>ジョウホウ</t>
    </rPh>
    <rPh sb="70" eb="72">
      <t>インガイ</t>
    </rPh>
    <rPh sb="72" eb="74">
      <t>ショホウ</t>
    </rPh>
    <rPh sb="77" eb="79">
      <t>セイゲン</t>
    </rPh>
    <rPh sb="82" eb="84">
      <t>シヨウ</t>
    </rPh>
    <rPh sb="92" eb="95">
      <t>シカクモクテキ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rPh sb="97" eb="99">
      <t>カンジャ</t>
    </rPh>
    <rPh sb="106" eb="108">
      <t>インナイ</t>
    </rPh>
    <rPh sb="108" eb="110">
      <t>ショホウ</t>
    </rPh>
    <rPh sb="111" eb="113">
      <t>ジョウホウ</t>
    </rPh>
    <rPh sb="114" eb="116">
      <t>エツラン</t>
    </rPh>
    <phoneticPr fontId="2"/>
  </si>
  <si>
    <t>MEDIS
電子処方箋</t>
    <rPh sb="6" eb="11">
      <t>デンシショホウセン</t>
    </rPh>
    <phoneticPr fontId="2"/>
  </si>
  <si>
    <t>電子署名の付加</t>
    <rPh sb="0" eb="2">
      <t>デンシ</t>
    </rPh>
    <rPh sb="2" eb="4">
      <t>ショメイ</t>
    </rPh>
    <rPh sb="5" eb="7">
      <t>フカ</t>
    </rPh>
    <phoneticPr fontId="2"/>
  </si>
  <si>
    <t>※詳細については、他案件にそろえて基金にて要件定義いただきたい。
機能：診療情報提供書(退院時サマリー)・患者サマリー
要求事項：_x000B_電子カルテ情報共有サービスのTSA（Time Stamp Authority）については、2031年以降にRSA-2048を用いたタイムスタンプ署名を新規生成することがないよう、2030年1月を目途に、タイムスタンプ署名に使用する署名アルゴリズムを、より高いセキュリティ強度を有する方式（ECDSA-256/384を想定）へ移行する_x000B__x000B_①電子カルテ情報共有サービスのTSAにおいて、現行のEE（End Entity）証明書が2027年10月に有効期限を迎えることから、RSA鍵を用いた現行方式のまま証明書を更新する。（2027年9月リリース予定）
　※暗号アルゴリズム移行のスケジュール上、2027年9月の時点では新たな署名方式を用いた証明書への移行ができない見込みのため
　※一方で、RSA-2048は2030年までが移行完遂期間とされていることから、2028年度以降に改めて新たな署名方式を用いた証明書へ切り替える必要があります。
②署名検証機能及びタイムスタンプ付与・検証機能について、新たな署名方式に対応するための改修を行う。（2028年3月リリース予定） 
　※署名検証ライブラリ及びタイムスタンプ付与ライブラリの改修（三菱電機デジタルイノベーション）を含みます。
　※S3及びACM（AWS Certificate Manager）への証明書配置等の作業を含みます。
　※総合テストでは、性能面を含む非機能要件に関するテストの実施を含みます。</t>
    <phoneticPr fontId="2"/>
  </si>
  <si>
    <t>224</t>
  </si>
  <si>
    <t>224-1</t>
    <phoneticPr fontId="2"/>
  </si>
  <si>
    <t>傷病名</t>
  </si>
  <si>
    <t>ICD11への移行に伴う傷病名マスタの変更</t>
  </si>
  <si>
    <t>ICD11への移行伴い、中央基盤で利用している標準病名マスタに影響がある可能性がある。それに対応する。</t>
  </si>
  <si>
    <t>傷病名の閲覧</t>
    <rPh sb="0" eb="2">
      <t>ショウビョウ</t>
    </rPh>
    <rPh sb="2" eb="3">
      <t>メイ</t>
    </rPh>
    <rPh sb="4" eb="6">
      <t>エツラン</t>
    </rPh>
    <phoneticPr fontId="2"/>
  </si>
  <si>
    <t>※現在保険局にてICD11に対応したICD11対応標準病名マスタの方針を検討しているところであるため、情報が出てきてから要件定義を行うこととする</t>
    <phoneticPr fontId="2"/>
  </si>
  <si>
    <t>225</t>
  </si>
  <si>
    <t>225-1</t>
    <phoneticPr fontId="2"/>
  </si>
  <si>
    <t>BI基盤活用による臨床情報の可視化</t>
    <phoneticPr fontId="2"/>
  </si>
  <si>
    <t>運用負荷や作業ミスの低減を図り、実態の早期把握や継続的な現状分析、N127</t>
    <phoneticPr fontId="2"/>
  </si>
  <si>
    <t>高野</t>
    <rPh sb="0" eb="2">
      <t>タカノ</t>
    </rPh>
    <phoneticPr fontId="2"/>
  </si>
  <si>
    <t>運用負荷や作業ミスの低減を図り、実態の早期把握や継続的な現状分析、政策検討へつなげることを目的とし、BI基盤を活用した臨床情報の可視化を実施する。</t>
    <rPh sb="52" eb="54">
      <t>キバン</t>
    </rPh>
    <rPh sb="55" eb="57">
      <t>カツヨウ</t>
    </rPh>
    <rPh sb="59" eb="61">
      <t>リンショウ</t>
    </rPh>
    <rPh sb="61" eb="63">
      <t>ジョウホウ</t>
    </rPh>
    <rPh sb="64" eb="67">
      <t>カシカ</t>
    </rPh>
    <rPh sb="68" eb="70">
      <t>ジッシ</t>
    </rPh>
    <phoneticPr fontId="2"/>
  </si>
  <si>
    <t>■起票背景
現在の統計情報作成は人手を介した情報提供により実施しているため、運用保守に係る負担や手作業による作業ミスのリスクに加え、BI読み込み用データへの変換作業を要する点が課題となっている。また、新たな統計情報との連携のたびに追加工数が発生するなど、拡張性の面でも課題を抱えている。
■起票目的
統計元データの自動出力および自動クレンジング・格納を行う「BI統計作成基盤」を構築するとともに、データ格納環境の拡張を行う。これにより、人手を介さず統計用データベースへ完全格納するとともに、既存のBIツール※ （Amazon QuickSight）を活用した迅速なデータ出力および視覚的な可視化を実現する。あわせて、運用負荷や作業ミスの低減を図り、実態の早期把握や継続的な現状分析、政策検討へつなげることを目的とする。</t>
  </si>
  <si>
    <t>電子カルテ情報共有サービスの普及価値を迅速に証明することができる。N127</t>
    <phoneticPr fontId="2"/>
  </si>
  <si>
    <t>統計</t>
    <rPh sb="0" eb="2">
      <t>トウケイ</t>
    </rPh>
    <phoneticPr fontId="2"/>
  </si>
  <si>
    <t xml:space="preserve">■要求事項
１．ダッシュボードの作成（15ダッシュボード）
①接続検証環境におけるテスト実施概況（電子カルテ情報共有サービス）集計結果（累計）
②接続検証環境におけるテスト実施概況（電子カルテ情報共有サービス）集計結果（週次）
③本番環境の実施状況（医療機関等別）
④臨床情報登録機能のエラー詳細
⑤本番環境報告資料（エラーコード）
⑥エラー対応状況の共有
⑦本番環境の実施状況（医療機関等別）
⑧本番環境の実施状況（文書登録・取得情報補足）
⑨カルテ臨床情報登録機能エラー率推移・内訳（全医療機関）
⑩カルテ臨床情報登録機能エラーコード内訳
⑪カルテ臨床情報登録機能エラーコード内訳（ベンダ別）
⑫モデル事業検証
⑬アドホック検証
⑭アドホック検証2
⑮アドホック検証3
２．ダッシュボード作成のインプットデータ
（１）電カル共有（5ファイル）
（電カル-本番-02）API実行数日次統計（医療機関等別）_yyyymmdd.csv
（電カル-本番-05）統計ログ（エラー詳細）_yyyymmdd.csv
（電カル-本番-09）統計ログ（文書情報）_yyyymmdd.csv
（電カル-本番-24）臨床情報_登録実績日次統計（医療機関等別）_yyyymmdd.csv
（電カル-接検-01）API実行数日次統計（医療機関等別）_yyyymmdd.csv
（２）オン資（13ファイル）
（オン資-本番-01）健診情報閲覧回数mmdd-mmdd_本番環境.xlsm
（オン資-本番-02）健診情報履歴照会回数mmdd-mmdd_本番環境.xlsm
（オン資-本番-03）電子カルテ利用状況回答機能利用実績_本番環境_yyyymmdd.xlsx
（オン資-本番-04）療養計画情報登録履歴照会利用実績_本番環境_yyyymmdd.xlsx
（オン資-本番-05）臨床情報閲覧利用実績_本番環境_yyyymmdd.xlsx
（オン資-本番-06）臨床情報登録履歴照会利用実績_本番環境_yyyymmdd.xlsx
（オン資-本番-08）臨床情報閲覧利用実績（正常のみ_情報が０件の場合を除く）_本番環境_yyyymmdd.xlsx
（オン資-接検-01）健診情報閲覧回数mmdd-mmdd_接続検証環境.xlsm
（オン資-接検-02）健診情報履歴照会回数mmdd-mmdd_接続検証環境.xlsm
（オン資-接検-03）電子カルテ利用状況回答機能利用実績_接続検証環境_yyyymmdd.xlsx
（オン資-接検-04）療養計画情報登録履歴照会利用実績_接続検証環境_yyyymmdd.xlsx
（オン資-接検-05）臨床情報閲覧利用実績_接続検証環境_yyyymmdd.xlsx
（オン資-接検-06）臨床情報登録履歴照会利用実績_接続検証環境_yyyymmdd.xlsx
３．ステークホルダーへのデータ共有
実施機関・厚労省拠点の自席よりインターネットを通じてセキュアにアクセスする方式
①Internet＋TLS（https）IPアドレス制限
②Internet＋IPsecVPN エンドポイント制限
①または②、もしくは両方式にて進める。
</t>
    <phoneticPr fontId="2"/>
  </si>
  <si>
    <t>226</t>
    <phoneticPr fontId="2"/>
  </si>
  <si>
    <t>226-1</t>
    <phoneticPr fontId="2"/>
  </si>
  <si>
    <t>患者サマリへのPDFの添付機能</t>
    <phoneticPr fontId="2"/>
  </si>
  <si>
    <t>患者サマリへPDFを添付できるようなアドオン機能を搭載する</t>
    <phoneticPr fontId="2"/>
  </si>
  <si>
    <t>■起票背景
患者サマリーに傷病名及び療養上の計画・アドバイスを記載することにより、生活習慣病管理料等の算定要件を満たすことが可能である。
現在、生活習慣病管理料では、療養計画書の様式は別紙様式9またはこれに準じた様式にすることと定義している。
■目的
マイナポータルにおいて、療養計画書と同等の内容を表示させる際に、別紙様式9の表示を患者も閲覧できるようにPDFを添付する</t>
    <rPh sb="1" eb="5">
      <t>キヒョウハイケイ</t>
    </rPh>
    <rPh sb="123" eb="126">
      <t>シカクモクテキ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</si>
  <si>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マイナポータルにおいて、療養計画書と同等の内容を表示させる際に、別紙様式9の表示を患者も閲覧できるようになる</t>
    <phoneticPr fontId="2"/>
  </si>
  <si>
    <t>医療課
医師会</t>
    <rPh sb="0" eb="2">
      <t>イリョウ</t>
    </rPh>
    <rPh sb="2" eb="3">
      <t>カ</t>
    </rPh>
    <rPh sb="4" eb="6">
      <t>イシ</t>
    </rPh>
    <rPh sb="6" eb="7">
      <t>カイ</t>
    </rPh>
    <phoneticPr fontId="2"/>
  </si>
  <si>
    <t>■機能：患者サマリー添付情報機能
■要求事項
患者サマリーのDocumentReferenceリソースに添付された添付資料をマイナポータルでも表示できるようにする。
■備考
・前提として、プロファイル1.14.0において、患者サマリーのCompositionセクションにDocumentReferenceリソースのEntry要素の追加を大江先生に依頼する必要がある
・本案件は、医師会へ療養計画書の登録に向けた説明を差し上げた結果を踏まえて開発要否を最終判断する（10/8に説明予定）</t>
    <rPh sb="85" eb="87">
      <t>ビコウ</t>
    </rPh>
    <phoneticPr fontId="2"/>
  </si>
  <si>
    <t>版</t>
    <rPh sb="0" eb="1">
      <t>ハン</t>
    </rPh>
    <phoneticPr fontId="2"/>
  </si>
  <si>
    <t>公開日</t>
    <rPh sb="0" eb="3">
      <t>コウカイビ</t>
    </rPh>
    <phoneticPr fontId="2"/>
  </si>
  <si>
    <t>担当主体</t>
  </si>
  <si>
    <t>案件起票日</t>
  </si>
  <si>
    <t>背景・目的</t>
    <rPh sb="0" eb="2">
      <t>ハイケイ</t>
    </rPh>
    <rPh sb="3" eb="5">
      <t>モクテキ</t>
    </rPh>
    <phoneticPr fontId="2"/>
  </si>
  <si>
    <t>国民（医師含む）のメリット
※機能追加・改善のみ記載</t>
  </si>
  <si>
    <t>ステークホルダー調整状況
(調整先:ステータス)</t>
    <rPh sb="8" eb="10">
      <t>チョウセイ</t>
    </rPh>
    <rPh sb="10" eb="12">
      <t>ジョウキョウ</t>
    </rPh>
    <rPh sb="14" eb="16">
      <t>チョウセイ</t>
    </rPh>
    <rPh sb="16" eb="17">
      <t>サキ</t>
    </rPh>
    <phoneticPr fontId="2"/>
  </si>
  <si>
    <t>リリース希望時期</t>
  </si>
  <si>
    <t>要件確定期限</t>
    <rPh sb="0" eb="2">
      <t>ヨウケン</t>
    </rPh>
    <rPh sb="2" eb="4">
      <t>カクテイ</t>
    </rPh>
    <rPh sb="4" eb="6">
      <t>キゲン</t>
    </rPh>
    <phoneticPr fontId="2"/>
  </si>
  <si>
    <t>リリース時期</t>
  </si>
  <si>
    <t>備考
（移管先、取り下げ理由等）</t>
  </si>
  <si>
    <t>業務名称</t>
  </si>
  <si>
    <t>業務要件</t>
    <phoneticPr fontId="2"/>
  </si>
  <si>
    <t>現状</t>
  </si>
  <si>
    <t>ステータス</t>
  </si>
  <si>
    <t>対象機能種別</t>
  </si>
  <si>
    <t>機能概要</t>
  </si>
  <si>
    <t>帳票/レイアウト</t>
    <rPh sb="0" eb="2">
      <t>チョウヒョウ</t>
    </rPh>
    <phoneticPr fontId="2"/>
  </si>
  <si>
    <t xml:space="preserve">外部システムへの影響
</t>
    <rPh sb="0" eb="2">
      <t>ガイブ</t>
    </rPh>
    <rPh sb="8" eb="10">
      <t>エイキョウ</t>
    </rPh>
    <phoneticPr fontId="2"/>
  </si>
  <si>
    <t>参照先</t>
    <rPh sb="0" eb="2">
      <t>サンショウ</t>
    </rPh>
    <rPh sb="2" eb="3">
      <t>サキ</t>
    </rPh>
    <phoneticPr fontId="2"/>
  </si>
  <si>
    <t>令和7年7月</t>
    <rPh sb="0" eb="2">
      <t>レイワ</t>
    </rPh>
    <rPh sb="3" eb="4">
      <t>ネン</t>
    </rPh>
    <rPh sb="5" eb="6">
      <t>ツキ</t>
    </rPh>
    <phoneticPr fontId="2"/>
  </si>
  <si>
    <t>確定</t>
    <rPh sb="0" eb="2">
      <t>カクテイ</t>
    </rPh>
    <phoneticPr fontId="2"/>
  </si>
  <si>
    <t>7月調達</t>
    <rPh sb="1" eb="2">
      <t>ガツ</t>
    </rPh>
    <rPh sb="2" eb="4">
      <t>チョウタツ</t>
    </rPh>
    <phoneticPr fontId="2"/>
  </si>
  <si>
    <t>電子処方箋</t>
    <rPh sb="0" eb="2">
      <t>デンシ</t>
    </rPh>
    <rPh sb="2" eb="5">
      <t>ショホウセン</t>
    </rPh>
    <phoneticPr fontId="2"/>
  </si>
  <si>
    <t>技術作業班</t>
    <rPh sb="0" eb="4">
      <t>ギジュツサギョウ</t>
    </rPh>
    <rPh sb="4" eb="5">
      <t>ハン</t>
    </rPh>
    <phoneticPr fontId="2"/>
  </si>
  <si>
    <t>SHALL</t>
    <phoneticPr fontId="2"/>
  </si>
  <si>
    <t>令和7年12月</t>
    <rPh sb="0" eb="2">
      <t>レイワ</t>
    </rPh>
    <rPh sb="3" eb="4">
      <t>ネン</t>
    </rPh>
    <rPh sb="6" eb="7">
      <t>ツキ</t>
    </rPh>
    <phoneticPr fontId="2"/>
  </si>
  <si>
    <t>12月調達</t>
    <rPh sb="2" eb="3">
      <t>ガツ</t>
    </rPh>
    <rPh sb="3" eb="5">
      <t>チョウタツ</t>
    </rPh>
    <phoneticPr fontId="2"/>
  </si>
  <si>
    <t>起票済み</t>
    <rPh sb="0" eb="3">
      <t>キヒョウスミ</t>
    </rPh>
    <phoneticPr fontId="2"/>
  </si>
  <si>
    <t>2文書6情報+患者サマリ</t>
    <rPh sb="1" eb="3">
      <t>ブンショ</t>
    </rPh>
    <rPh sb="4" eb="6">
      <t>ジョウホウ</t>
    </rPh>
    <rPh sb="7" eb="9">
      <t>カンジャ</t>
    </rPh>
    <phoneticPr fontId="2"/>
  </si>
  <si>
    <t>要件不備対応</t>
    <rPh sb="0" eb="2">
      <t>ヨウケン</t>
    </rPh>
    <rPh sb="2" eb="4">
      <t>フビ</t>
    </rPh>
    <rPh sb="4" eb="6">
      <t>タイオウ</t>
    </rPh>
    <phoneticPr fontId="2"/>
  </si>
  <si>
    <t>令和7年12月
(令和6年度案件)</t>
    <rPh sb="0" eb="2">
      <t>レイワ</t>
    </rPh>
    <rPh sb="3" eb="4">
      <t>ネン</t>
    </rPh>
    <rPh sb="6" eb="7">
      <t>ツキ</t>
    </rPh>
    <rPh sb="9" eb="11">
      <t>レイワ</t>
    </rPh>
    <rPh sb="12" eb="14">
      <t>ネンド</t>
    </rPh>
    <rPh sb="14" eb="16">
      <t>アンケン</t>
    </rPh>
    <phoneticPr fontId="2"/>
  </si>
  <si>
    <t>3月調達</t>
    <rPh sb="1" eb="2">
      <t>ガツ</t>
    </rPh>
    <rPh sb="2" eb="4">
      <t>チョウタツ</t>
    </rPh>
    <phoneticPr fontId="2"/>
  </si>
  <si>
    <t>2文書6情報</t>
    <rPh sb="1" eb="3">
      <t>ブンショ</t>
    </rPh>
    <rPh sb="4" eb="6">
      <t>ジョウホウ</t>
    </rPh>
    <phoneticPr fontId="2"/>
  </si>
  <si>
    <t>プロファイル更新</t>
    <rPh sb="6" eb="8">
      <t>コウシン</t>
    </rPh>
    <phoneticPr fontId="2"/>
  </si>
  <si>
    <t>調整中</t>
    <rPh sb="0" eb="3">
      <t>チョウセイチュウ</t>
    </rPh>
    <phoneticPr fontId="2"/>
  </si>
  <si>
    <t>令和8年3月</t>
    <rPh sb="0" eb="2">
      <t>レイワ</t>
    </rPh>
    <rPh sb="3" eb="4">
      <t>ネン</t>
    </rPh>
    <rPh sb="5" eb="6">
      <t>ツキ</t>
    </rPh>
    <phoneticPr fontId="2"/>
  </si>
  <si>
    <t>移管</t>
    <rPh sb="0" eb="2">
      <t>イカン</t>
    </rPh>
    <phoneticPr fontId="2"/>
  </si>
  <si>
    <t>収集・管理システム</t>
    <rPh sb="0" eb="2">
      <t>シュウシュウ</t>
    </rPh>
    <rPh sb="3" eb="5">
      <t>カンリ</t>
    </rPh>
    <phoneticPr fontId="2"/>
  </si>
  <si>
    <t>完了</t>
    <rPh sb="0" eb="2">
      <t>カンリョウ</t>
    </rPh>
    <phoneticPr fontId="2"/>
  </si>
  <si>
    <t>令和8年3月以降</t>
    <rPh sb="0" eb="2">
      <t>レイワ</t>
    </rPh>
    <rPh sb="3" eb="4">
      <t>ネン</t>
    </rPh>
    <rPh sb="5" eb="6">
      <t>ツキ</t>
    </rPh>
    <rPh sb="6" eb="8">
      <t>イコウ</t>
    </rPh>
    <phoneticPr fontId="2"/>
  </si>
  <si>
    <t>保留</t>
    <rPh sb="0" eb="2">
      <t>ホリュウ</t>
    </rPh>
    <phoneticPr fontId="2"/>
  </si>
  <si>
    <t>未定</t>
    <rPh sb="0" eb="2">
      <t>ミテイ</t>
    </rPh>
    <phoneticPr fontId="2"/>
  </si>
  <si>
    <t>収集システム/電カル共有</t>
    <rPh sb="0" eb="2">
      <t>シュウシュウ</t>
    </rPh>
    <rPh sb="7" eb="8">
      <t>デン</t>
    </rPh>
    <rPh sb="10" eb="12">
      <t>キョウユウ</t>
    </rPh>
    <phoneticPr fontId="2"/>
  </si>
  <si>
    <t>保険者</t>
    <rPh sb="0" eb="3">
      <t>ホケンシャ</t>
    </rPh>
    <phoneticPr fontId="2"/>
  </si>
  <si>
    <t>臨床情報:処方</t>
    <phoneticPr fontId="2"/>
  </si>
  <si>
    <t>文書情報のみ</t>
    <phoneticPr fontId="2"/>
  </si>
  <si>
    <t>患者サマリ</t>
    <rPh sb="0" eb="2">
      <t>カンジャ</t>
    </rPh>
    <phoneticPr fontId="2"/>
  </si>
  <si>
    <t>プロファイル</t>
  </si>
  <si>
    <t>&lt;凡例&gt;
・青文字：FIXした内容
・赤文字：厚労省が記載した内容
・水色文字：厚労省が修正した内容
・緑文字：基金が修正した内容、あるいは厚労省修正を基金が確認した内容
・灰色文字：省略した内容
・オレンジ色網掛セル：修正箇所
・黄色網掛セル：その他用途</t>
    <rPh sb="1" eb="3">
      <t>ハンレイ</t>
    </rPh>
    <rPh sb="6" eb="7">
      <t>アオ</t>
    </rPh>
    <rPh sb="7" eb="9">
      <t>モジ</t>
    </rPh>
    <rPh sb="15" eb="17">
      <t>ナイヨウ</t>
    </rPh>
    <rPh sb="19" eb="20">
      <t>アカ</t>
    </rPh>
    <rPh sb="20" eb="22">
      <t>モジ</t>
    </rPh>
    <rPh sb="23" eb="26">
      <t>コウロウショウ</t>
    </rPh>
    <rPh sb="27" eb="29">
      <t>キサイ</t>
    </rPh>
    <rPh sb="31" eb="33">
      <t>ナイヨウ</t>
    </rPh>
    <rPh sb="35" eb="37">
      <t>ミズイロ</t>
    </rPh>
    <rPh sb="37" eb="39">
      <t>モジ</t>
    </rPh>
    <rPh sb="44" eb="46">
      <t>シュウセイ</t>
    </rPh>
    <rPh sb="52" eb="53">
      <t>ミドリ</t>
    </rPh>
    <rPh sb="53" eb="55">
      <t>モジ</t>
    </rPh>
    <rPh sb="56" eb="58">
      <t>キキン</t>
    </rPh>
    <rPh sb="59" eb="61">
      <t>シュウセイ</t>
    </rPh>
    <rPh sb="70" eb="75">
      <t>コウロウショウシュウセイ</t>
    </rPh>
    <rPh sb="76" eb="78">
      <t>キキン</t>
    </rPh>
    <rPh sb="79" eb="81">
      <t>カクニン</t>
    </rPh>
    <rPh sb="83" eb="85">
      <t>ナイヨウ</t>
    </rPh>
    <rPh sb="87" eb="89">
      <t>ハイイロ</t>
    </rPh>
    <rPh sb="89" eb="91">
      <t>モジ</t>
    </rPh>
    <rPh sb="92" eb="94">
      <t>ショウリャク</t>
    </rPh>
    <rPh sb="96" eb="98">
      <t>ナイヨウ</t>
    </rPh>
    <rPh sb="110" eb="112">
      <t>シュウセイ</t>
    </rPh>
    <rPh sb="112" eb="114">
      <t>カショ</t>
    </rPh>
    <rPh sb="125" eb="126">
      <t>タ</t>
    </rPh>
    <rPh sb="126" eb="128">
      <t>ヨウト</t>
    </rPh>
    <phoneticPr fontId="2"/>
  </si>
  <si>
    <t>業務要件セクション</t>
    <rPh sb="0" eb="2">
      <t>ギョウム</t>
    </rPh>
    <rPh sb="2" eb="4">
      <t>ヨウケン</t>
    </rPh>
    <phoneticPr fontId="2"/>
  </si>
  <si>
    <t>機能・非機能要件セクション</t>
    <rPh sb="0" eb="2">
      <t>キノウ</t>
    </rPh>
    <rPh sb="3" eb="6">
      <t>ヒキノウ</t>
    </rPh>
    <rPh sb="6" eb="8">
      <t>ヨウケン</t>
    </rPh>
    <phoneticPr fontId="2"/>
  </si>
  <si>
    <t>非機能要件セクション</t>
    <rPh sb="0" eb="3">
      <t>ヒキノウ</t>
    </rPh>
    <rPh sb="3" eb="5">
      <t>ヨウケン</t>
    </rPh>
    <phoneticPr fontId="2"/>
  </si>
  <si>
    <t>6/11 厚労省・基金会議</t>
    <rPh sb="5" eb="7">
      <t>コウロウ</t>
    </rPh>
    <rPh sb="7" eb="8">
      <t>ショウ</t>
    </rPh>
    <rPh sb="9" eb="11">
      <t>キキン</t>
    </rPh>
    <rPh sb="11" eb="13">
      <t>カイギ</t>
    </rPh>
    <phoneticPr fontId="2"/>
  </si>
  <si>
    <t>変更フラグ
※8/23以降</t>
    <rPh sb="0" eb="2">
      <t>ヘンコウ</t>
    </rPh>
    <rPh sb="11" eb="13">
      <t>イコウ</t>
    </rPh>
    <phoneticPr fontId="2"/>
  </si>
  <si>
    <t>業務要件</t>
    <rPh sb="2" eb="4">
      <t>ヨウケン</t>
    </rPh>
    <phoneticPr fontId="2"/>
  </si>
  <si>
    <t>現状</t>
    <rPh sb="0" eb="2">
      <t>ゲンジョウ</t>
    </rPh>
    <phoneticPr fontId="2"/>
  </si>
  <si>
    <t>対象機能種別</t>
    <phoneticPr fontId="2"/>
  </si>
  <si>
    <t>機能概要</t>
    <rPh sb="0" eb="2">
      <t>キノウ</t>
    </rPh>
    <rPh sb="2" eb="4">
      <t>ガイヨウ</t>
    </rPh>
    <phoneticPr fontId="2"/>
  </si>
  <si>
    <t>分類</t>
    <rPh sb="0" eb="2">
      <t>ブンルイ</t>
    </rPh>
    <phoneticPr fontId="2"/>
  </si>
  <si>
    <t>厚労省への確認事項</t>
    <rPh sb="0" eb="3">
      <t>コウロウショウ</t>
    </rPh>
    <rPh sb="5" eb="9">
      <t>カクニンジコウ</t>
    </rPh>
    <phoneticPr fontId="2"/>
  </si>
  <si>
    <t>要件確認</t>
    <rPh sb="0" eb="2">
      <t>ヨウケン</t>
    </rPh>
    <rPh sb="2" eb="4">
      <t>カクニン</t>
    </rPh>
    <phoneticPr fontId="2"/>
  </si>
  <si>
    <t>006</t>
  </si>
  <si>
    <t>006_01</t>
  </si>
  <si>
    <t>令和8年度以降</t>
    <rPh sb="0" eb="2">
      <t>レイワ</t>
    </rPh>
    <rPh sb="3" eb="4">
      <t>ネン</t>
    </rPh>
    <rPh sb="4" eb="5">
      <t>ド</t>
    </rPh>
    <rPh sb="5" eb="7">
      <t>イコウ</t>
    </rPh>
    <phoneticPr fontId="2"/>
  </si>
  <si>
    <t>令和7年12月リリース案件候補</t>
    <rPh sb="0" eb="2">
      <t>レイワ</t>
    </rPh>
    <rPh sb="3" eb="4">
      <t>ネン</t>
    </rPh>
    <rPh sb="6" eb="7">
      <t>ツキ</t>
    </rPh>
    <rPh sb="11" eb="13">
      <t>アンケン</t>
    </rPh>
    <rPh sb="13" eb="15">
      <t>コウホ</t>
    </rPh>
    <phoneticPr fontId="2"/>
  </si>
  <si>
    <t>事務職員等が、自院から送信した診療情報提供書が何件あって、それぞれどのようなステータスとなっているかの状況把握が困難。</t>
    <phoneticPr fontId="2"/>
  </si>
  <si>
    <t>文書情報状況照会機能</t>
    <rPh sb="0" eb="2">
      <t>ブンショ</t>
    </rPh>
    <rPh sb="2" eb="4">
      <t>ジョウホウ</t>
    </rPh>
    <rPh sb="4" eb="6">
      <t>ジョウキョウ</t>
    </rPh>
    <rPh sb="6" eb="8">
      <t>ショウカイ</t>
    </rPh>
    <rPh sb="8" eb="10">
      <t>キノウ</t>
    </rPh>
    <phoneticPr fontId="2"/>
  </si>
  <si>
    <t>「文書情報状況照会一覧結果」のI/F追加。
要求リクエスト時には、文書を登録した日付の期間、患者名、紹介先医療機関、紹介元医療機関の診療科・医師名（あいまい検索含む）で絞りこむことができる仕様を想定。
結果ファイルは、「文書情報状況照会結果」と同様の項目を想定。</t>
    <phoneticPr fontId="2"/>
  </si>
  <si>
    <t>文書情報状況照会結果（CIS-IF-110）</t>
    <rPh sb="0" eb="2">
      <t>ブンショ</t>
    </rPh>
    <rPh sb="2" eb="4">
      <t>ジョウホウ</t>
    </rPh>
    <rPh sb="4" eb="6">
      <t>ジョウキョウ</t>
    </rPh>
    <rPh sb="6" eb="8">
      <t>ショウカイ</t>
    </rPh>
    <rPh sb="8" eb="10">
      <t>ケッカ</t>
    </rPh>
    <phoneticPr fontId="2"/>
  </si>
  <si>
    <t>007</t>
  </si>
  <si>
    <t>007_01</t>
  </si>
  <si>
    <t>036</t>
  </si>
  <si>
    <t>036_01</t>
  </si>
  <si>
    <t>044_01</t>
  </si>
  <si>
    <t>リリース時期変更理由：事前同意のユースケースを検討するため(7/9デジタル庁・基金・厚労省の打ち合わせ)
2025/6/11
12月リリース案件と同様に開発は進める予定。なお、テストはデジタル庁と要調整。</t>
    <rPh sb="4" eb="6">
      <t>ジキ</t>
    </rPh>
    <rPh sb="6" eb="8">
      <t>ヘンコウ</t>
    </rPh>
    <rPh sb="8" eb="10">
      <t>リユウ</t>
    </rPh>
    <rPh sb="11" eb="13">
      <t>ジゼン</t>
    </rPh>
    <rPh sb="13" eb="15">
      <t>ドウイ</t>
    </rPh>
    <rPh sb="23" eb="25">
      <t>ケントウ</t>
    </rPh>
    <rPh sb="37" eb="38">
      <t>チョウ</t>
    </rPh>
    <rPh sb="39" eb="41">
      <t>キキン</t>
    </rPh>
    <rPh sb="42" eb="45">
      <t>コウロウショウ</t>
    </rPh>
    <rPh sb="46" eb="47">
      <t>ウ</t>
    </rPh>
    <rPh sb="48" eb="49">
      <t>ア</t>
    </rPh>
    <rPh sb="66" eb="67">
      <t>ガツ</t>
    </rPh>
    <rPh sb="71" eb="73">
      <t>アンケン</t>
    </rPh>
    <rPh sb="74" eb="76">
      <t>ドウヨウ</t>
    </rPh>
    <rPh sb="77" eb="79">
      <t>カイハツ</t>
    </rPh>
    <rPh sb="80" eb="81">
      <t>スス</t>
    </rPh>
    <rPh sb="83" eb="85">
      <t>ヨテイ</t>
    </rPh>
    <rPh sb="97" eb="98">
      <t>チョウ</t>
    </rPh>
    <rPh sb="99" eb="100">
      <t>ヨウ</t>
    </rPh>
    <rPh sb="100" eb="102">
      <t>チョウセイ</t>
    </rPh>
    <phoneticPr fontId="2"/>
  </si>
  <si>
    <t>せっかく実装した二次元コードの読み取り機能を使用できない環境となっている。
また、医療機関側で即時に二次元コードを生成してもらうことも理論上はできるが、手動の場合、ケアレスミスを起こす可能性もあり。(実際にモデル事業医療機関向けに支払基金から提供した二次元コードに不備があった事例もあり）</t>
    <phoneticPr fontId="2"/>
  </si>
  <si>
    <t>二次元コードコード生成機能</t>
  </si>
  <si>
    <t>■要求事項１
・機能：二次元コードコード生成機能
・内容：マイナポータルから患者が医療機関に対して事前同意を設定するためのURLに遷移する医療機関毎の二次元コードを生成する。
■備考
二次元コードコードの取得先を医療機関等向け総合ポータルサイト(又は資格確認端末)のWeb画面とするか、医療機関等ポータルサイト(ログイン後)画面にするかは、要検討。</t>
    <rPh sb="124" eb="125">
      <t>マタ</t>
    </rPh>
    <rPh sb="126" eb="132">
      <t>シカクカクニンタンマツ</t>
    </rPh>
    <phoneticPr fontId="2"/>
  </si>
  <si>
    <t>医療機関等向けポータルサイトのレイアウト</t>
    <rPh sb="0" eb="4">
      <t>イリョウキカン</t>
    </rPh>
    <rPh sb="4" eb="6">
      <t>トウム</t>
    </rPh>
    <phoneticPr fontId="2"/>
  </si>
  <si>
    <t>共有</t>
    <rPh sb="0" eb="2">
      <t>キョウユウ</t>
    </rPh>
    <phoneticPr fontId="2"/>
  </si>
  <si>
    <r>
      <t xml:space="preserve">リリース時期は3月になる。(調達・開発等は12月リリース案件併せて実施予定)
</t>
    </r>
    <r>
      <rPr>
        <sz val="10"/>
        <color theme="3" tint="0.39997558519241921"/>
        <rFont val="Meiryo UI"/>
        <family val="3"/>
        <charset val="128"/>
      </rPr>
      <t>→6/13追記　富士通に再確認しマイナポとの調整不要のため12月リリースで問題なし</t>
    </r>
    <r>
      <rPr>
        <sz val="10"/>
        <rFont val="Meiryo UI"/>
        <family val="3"/>
        <charset val="128"/>
      </rPr>
      <t xml:space="preserve">
</t>
    </r>
    <r>
      <rPr>
        <sz val="10"/>
        <color rgb="FFFF0000"/>
        <rFont val="Meiryo UI"/>
        <family val="3"/>
        <charset val="128"/>
      </rPr>
      <t>ユースケースについて確認したい。（別の場で確認） ★ToDo(厚労・基金)</t>
    </r>
    <rPh sb="4" eb="6">
      <t>ジキ</t>
    </rPh>
    <rPh sb="8" eb="9">
      <t>ガツ</t>
    </rPh>
    <rPh sb="14" eb="16">
      <t>チョウタツ</t>
    </rPh>
    <rPh sb="17" eb="19">
      <t>カイハツ</t>
    </rPh>
    <rPh sb="19" eb="20">
      <t>トウ</t>
    </rPh>
    <rPh sb="23" eb="24">
      <t>ガツ</t>
    </rPh>
    <rPh sb="28" eb="30">
      <t>アンケン</t>
    </rPh>
    <rPh sb="30" eb="31">
      <t>アワ</t>
    </rPh>
    <rPh sb="33" eb="35">
      <t>ジッシ</t>
    </rPh>
    <rPh sb="35" eb="37">
      <t>ヨテイ</t>
    </rPh>
    <rPh sb="44" eb="46">
      <t>ツイキ</t>
    </rPh>
    <rPh sb="47" eb="50">
      <t>フジツウ</t>
    </rPh>
    <rPh sb="51" eb="54">
      <t>サイカクニン</t>
    </rPh>
    <rPh sb="61" eb="63">
      <t>チョウセイ</t>
    </rPh>
    <rPh sb="63" eb="65">
      <t>フヨウ</t>
    </rPh>
    <rPh sb="70" eb="71">
      <t>ツキ</t>
    </rPh>
    <rPh sb="76" eb="78">
      <t>モンダイ</t>
    </rPh>
    <rPh sb="92" eb="94">
      <t>カクニン</t>
    </rPh>
    <rPh sb="99" eb="100">
      <t>ベツ</t>
    </rPh>
    <rPh sb="101" eb="102">
      <t>バ</t>
    </rPh>
    <rPh sb="103" eb="105">
      <t>カクニン</t>
    </rPh>
    <rPh sb="113" eb="115">
      <t>コウロウ</t>
    </rPh>
    <rPh sb="116" eb="118">
      <t>キキン</t>
    </rPh>
    <phoneticPr fontId="37"/>
  </si>
  <si>
    <t>○</t>
    <phoneticPr fontId="2"/>
  </si>
  <si>
    <t>044</t>
  </si>
  <si>
    <t>044_02</t>
  </si>
  <si>
    <t>医療機関等向け総合ポータルサイト</t>
    <phoneticPr fontId="2"/>
  </si>
  <si>
    <t>■要求事項２
・機能：医療機関等向け総合ポータルサイト又は資格確認端末
・内容：マイナポータルから患者が医療機関に対して事前同意を設定するためのURLに遷移する医療機関毎の二次元コードを生成し、画面表示する。二次元バーコードを画像(jpegもしくはpng)として端末にダウンロードできるようにする。
■備考
二次元コードコードの取得先を医療機関等向け総合ポータルサイト(又は資格確認端末)のWeb画面とするか、医療機関等ポータルサイト(ログイン後)画面にするかは、要検討。</t>
    <rPh sb="11" eb="16">
      <t>イリョウキカントウ</t>
    </rPh>
    <rPh sb="16" eb="17">
      <t>ム</t>
    </rPh>
    <rPh sb="18" eb="20">
      <t>ソウゴウ</t>
    </rPh>
    <rPh sb="27" eb="28">
      <t>マタ</t>
    </rPh>
    <rPh sb="186" eb="187">
      <t>マタ</t>
    </rPh>
    <rPh sb="188" eb="194">
      <t>シカクカクニンタンマツ</t>
    </rPh>
    <phoneticPr fontId="2"/>
  </si>
  <si>
    <t>048</t>
  </si>
  <si>
    <t>048_01</t>
  </si>
  <si>
    <t>RESTful APIを用いてFHIRリソース単位のデータ取得が可能なDB及びAPI構築</t>
    <rPh sb="12" eb="13">
      <t>モチ</t>
    </rPh>
    <rPh sb="23" eb="25">
      <t>タンイ</t>
    </rPh>
    <rPh sb="29" eb="31">
      <t>シュトク</t>
    </rPh>
    <rPh sb="32" eb="34">
      <t>カノウ</t>
    </rPh>
    <rPh sb="37" eb="38">
      <t>オヨ</t>
    </rPh>
    <rPh sb="42" eb="44">
      <t>コウチク</t>
    </rPh>
    <phoneticPr fontId="2"/>
  </si>
  <si>
    <t>RESTful APIを用いてFHIRリソース単位のデータ取得が可能なDB及びAPIを新規構築する</t>
    <rPh sb="12" eb="13">
      <t>モチ</t>
    </rPh>
    <rPh sb="23" eb="25">
      <t>タンイ</t>
    </rPh>
    <rPh sb="29" eb="31">
      <t>シュトク</t>
    </rPh>
    <rPh sb="32" eb="34">
      <t>カノウ</t>
    </rPh>
    <rPh sb="37" eb="38">
      <t>オヨ</t>
    </rPh>
    <rPh sb="43" eb="47">
      <t>シンキコウチク</t>
    </rPh>
    <phoneticPr fontId="2"/>
  </si>
  <si>
    <t>状況確認(12月対象外)</t>
    <rPh sb="0" eb="2">
      <t>ジョウキョウ</t>
    </rPh>
    <rPh sb="2" eb="4">
      <t>カクニン</t>
    </rPh>
    <rPh sb="7" eb="8">
      <t>ガツ</t>
    </rPh>
    <rPh sb="8" eb="10">
      <t>タイショウ</t>
    </rPh>
    <rPh sb="10" eb="11">
      <t>ガイ</t>
    </rPh>
    <phoneticPr fontId="2"/>
  </si>
  <si>
    <r>
      <t>3月リリース案件の認識だが、改修規模が大きくなることが想定されるため、要件案等あれば連携いただきたい。</t>
    </r>
    <r>
      <rPr>
        <sz val="10"/>
        <color rgb="FFFF0000"/>
        <rFont val="Meiryo UI"/>
        <family val="3"/>
        <charset val="128"/>
      </rPr>
      <t>★ToDo(厚労)</t>
    </r>
    <rPh sb="1" eb="2">
      <t>ガツ</t>
    </rPh>
    <rPh sb="6" eb="8">
      <t>アンケン</t>
    </rPh>
    <rPh sb="9" eb="11">
      <t>ニンシキ</t>
    </rPh>
    <rPh sb="14" eb="16">
      <t>カイシュウ</t>
    </rPh>
    <rPh sb="16" eb="18">
      <t>キボ</t>
    </rPh>
    <rPh sb="19" eb="20">
      <t>オオ</t>
    </rPh>
    <rPh sb="27" eb="29">
      <t>ソウテイ</t>
    </rPh>
    <rPh sb="35" eb="37">
      <t>ヨウケン</t>
    </rPh>
    <rPh sb="37" eb="38">
      <t>アン</t>
    </rPh>
    <rPh sb="38" eb="39">
      <t>トウ</t>
    </rPh>
    <rPh sb="42" eb="44">
      <t>レンケイ</t>
    </rPh>
    <rPh sb="57" eb="59">
      <t>コウロウ</t>
    </rPh>
    <phoneticPr fontId="2"/>
  </si>
  <si>
    <t>050</t>
  </si>
  <si>
    <t>050_01</t>
  </si>
  <si>
    <t>059</t>
  </si>
  <si>
    <t>059_01</t>
  </si>
  <si>
    <t>医療機関等検索の検索キーの追加</t>
  </si>
  <si>
    <t>マイナポータルにおける医療機関等の検索条件は「都道府県」と「医療機関・薬局名」である。</t>
    <rPh sb="11" eb="16">
      <t>イリョウキカントウ</t>
    </rPh>
    <rPh sb="17" eb="19">
      <t>ケンサク</t>
    </rPh>
    <rPh sb="19" eb="21">
      <t>ジョウケン</t>
    </rPh>
    <phoneticPr fontId="2"/>
  </si>
  <si>
    <t>医療機関等の検索機能</t>
    <rPh sb="0" eb="5">
      <t>イリョウキカントウ</t>
    </rPh>
    <rPh sb="6" eb="10">
      <t>ケンサクキノウ</t>
    </rPh>
    <phoneticPr fontId="2"/>
  </si>
  <si>
    <t>マイナポータルにおける医療機関等の検索条件の変更に合わせて、医療機関の検索ロジックを変更する。
＜マイナポータルの変更内容＞
・追加項目：「医療機関名（カナ）」「所在地」
・必須条件から任意条件へ変更：「都道府県」
※追加項目の検索方法はあいまい検索とする
※追加項目は任意入力項目とする</t>
    <phoneticPr fontId="2"/>
  </si>
  <si>
    <t>085_01</t>
  </si>
  <si>
    <t>FHIR記述仕様/実装ガイドに記載されていないリソース及びプロファイルでもデータ登録のリクエストが通ってしまうが、そのようなデータを医療機関側で、情報表示ができないため、伝達したい情報が落ちてしまう可能性がある。</t>
    <phoneticPr fontId="2"/>
  </si>
  <si>
    <t>アドオンチェック機能</t>
    <phoneticPr fontId="2"/>
  </si>
  <si>
    <t>JP-Clinsと健診実装ガイドのアーティファクトに収載されているプロファイル以外のプロファイル/リソースを記述してデータ登録した場合にError返却する。</t>
    <rPh sb="73" eb="75">
      <t>ヘンキャク</t>
    </rPh>
    <phoneticPr fontId="2"/>
  </si>
  <si>
    <t>依頼</t>
    <rPh sb="0" eb="2">
      <t>イライ</t>
    </rPh>
    <phoneticPr fontId="2"/>
  </si>
  <si>
    <r>
      <t>FHIRの思想に反する可能性があるため大江先生確認をお願いしたい　</t>
    </r>
    <r>
      <rPr>
        <sz val="10"/>
        <color rgb="FFFF0000"/>
        <rFont val="Meiryo UI"/>
        <family val="3"/>
        <charset val="128"/>
      </rPr>
      <t>★ToDo(厚労)</t>
    </r>
    <rPh sb="8" eb="9">
      <t>ハン</t>
    </rPh>
    <rPh sb="11" eb="14">
      <t>カノウセイ</t>
    </rPh>
    <rPh sb="19" eb="23">
      <t>オオエセンセイ</t>
    </rPh>
    <rPh sb="23" eb="25">
      <t>カクニン</t>
    </rPh>
    <rPh sb="39" eb="41">
      <t>コウロウ</t>
    </rPh>
    <phoneticPr fontId="2"/>
  </si>
  <si>
    <t>094</t>
  </si>
  <si>
    <t>094_01</t>
  </si>
  <si>
    <t>死亡した患者の情報は医療機関からは確認できず、利用用途もないままオン資のデータベースに残り続けることで、不要なランニングコストが発生・増加する恐れがある。</t>
    <phoneticPr fontId="2"/>
  </si>
  <si>
    <t>オンライン資格確認システムのデータ管理機能</t>
    <phoneticPr fontId="2"/>
  </si>
  <si>
    <t>特定条件(この場合は、死亡フラグがついている等)を満たした個人に紐づく臨床情報を一括で削除する機能を追加開発する。
■備考
技術作業班にてどのような改修方針にするか検討予定のため、要求事項はあくまで現状の想定案。
死亡フラグをどのように基盤側で取得し、患者個人に紐づけるかは継続検討中であるが、まずは個人に紐づく臨床情報を一括で削除する機能の改修を先行する。</t>
    <phoneticPr fontId="2"/>
  </si>
  <si>
    <t>調整</t>
    <rPh sb="0" eb="2">
      <t>チョウセイ</t>
    </rPh>
    <phoneticPr fontId="2"/>
  </si>
  <si>
    <r>
      <t xml:space="preserve">死亡した患者情報をどのように取得し、信頼性を担保するか、いつ削除するか確認したい。（上記整理でき次第の改修としたい）
</t>
    </r>
    <r>
      <rPr>
        <sz val="10"/>
        <color rgb="FFFF0000"/>
        <rFont val="Meiryo UI"/>
        <family val="3"/>
        <charset val="128"/>
      </rPr>
      <t>→回答保留、技術作業班（次回7/7）に付議予定ではない（ただまだ上げられる状況にない）3月リリースに変更　★ToDo(厚労)</t>
    </r>
    <r>
      <rPr>
        <sz val="8"/>
        <color rgb="FFFF0000"/>
        <rFont val="Meiryo UI"/>
        <family val="3"/>
        <charset val="128"/>
      </rPr>
      <t xml:space="preserve">
</t>
    </r>
    <r>
      <rPr>
        <sz val="9"/>
        <color rgb="FFFF0000"/>
        <rFont val="Meiryo UI"/>
        <family val="3"/>
        <charset val="128"/>
      </rPr>
      <t>※時間が掛かると既に見えているものを整理する（～6/20ND富士通と擦り合わせして回答する）クラウド間連携、RESTful等 ★ToDo(基金)
※基盤を一から見直す等開発に時間のかかる案件は提示しているマスタスケジュールに収まらないことがある旨を月次報告で報告する　★ToDo(基金)</t>
    </r>
    <rPh sb="0" eb="2">
      <t>シボウ</t>
    </rPh>
    <rPh sb="4" eb="6">
      <t>カンジャ</t>
    </rPh>
    <rPh sb="6" eb="8">
      <t>ジョウホウ</t>
    </rPh>
    <rPh sb="14" eb="16">
      <t>シュトク</t>
    </rPh>
    <rPh sb="18" eb="21">
      <t>シンライセイ</t>
    </rPh>
    <rPh sb="22" eb="24">
      <t>タンポ</t>
    </rPh>
    <rPh sb="30" eb="32">
      <t>サクジョ</t>
    </rPh>
    <rPh sb="35" eb="37">
      <t>カクニン</t>
    </rPh>
    <rPh sb="42" eb="44">
      <t>ジョウキ</t>
    </rPh>
    <rPh sb="44" eb="46">
      <t>セイリ</t>
    </rPh>
    <rPh sb="48" eb="50">
      <t>シダイ</t>
    </rPh>
    <rPh sb="51" eb="53">
      <t>カイシュウ</t>
    </rPh>
    <rPh sb="60" eb="64">
      <t>カイトウホリュウ</t>
    </rPh>
    <rPh sb="65" eb="69">
      <t>ギジュツサギョウ</t>
    </rPh>
    <rPh sb="69" eb="70">
      <t>ハン</t>
    </rPh>
    <rPh sb="71" eb="73">
      <t>ジカイ</t>
    </rPh>
    <rPh sb="78" eb="80">
      <t>フギ</t>
    </rPh>
    <rPh sb="80" eb="82">
      <t>ヨテイ</t>
    </rPh>
    <rPh sb="91" eb="92">
      <t>ア</t>
    </rPh>
    <rPh sb="96" eb="98">
      <t>ジョウキョウ</t>
    </rPh>
    <rPh sb="103" eb="104">
      <t>ツキ</t>
    </rPh>
    <rPh sb="109" eb="111">
      <t>ヘンコウ</t>
    </rPh>
    <rPh sb="118" eb="120">
      <t>コウロウ</t>
    </rPh>
    <rPh sb="123" eb="125">
      <t>ジカン</t>
    </rPh>
    <rPh sb="126" eb="127">
      <t>カ</t>
    </rPh>
    <rPh sb="130" eb="131">
      <t>スデ</t>
    </rPh>
    <rPh sb="132" eb="133">
      <t>ミ</t>
    </rPh>
    <rPh sb="140" eb="142">
      <t>セイリ</t>
    </rPh>
    <rPh sb="152" eb="155">
      <t>フジツウ</t>
    </rPh>
    <rPh sb="156" eb="157">
      <t>ス</t>
    </rPh>
    <rPh sb="158" eb="159">
      <t>ア</t>
    </rPh>
    <rPh sb="163" eb="165">
      <t>カイトウ</t>
    </rPh>
    <rPh sb="183" eb="184">
      <t>トウ</t>
    </rPh>
    <rPh sb="188" eb="190">
      <t>キキン</t>
    </rPh>
    <rPh sb="196" eb="198">
      <t>キバン</t>
    </rPh>
    <rPh sb="199" eb="200">
      <t>イチ</t>
    </rPh>
    <rPh sb="202" eb="204">
      <t>ミナオ</t>
    </rPh>
    <rPh sb="205" eb="206">
      <t>ナド</t>
    </rPh>
    <rPh sb="206" eb="208">
      <t>カイハツ</t>
    </rPh>
    <rPh sb="209" eb="211">
      <t>ジカン</t>
    </rPh>
    <rPh sb="215" eb="217">
      <t>アンケン</t>
    </rPh>
    <rPh sb="218" eb="220">
      <t>テイジ</t>
    </rPh>
    <rPh sb="234" eb="235">
      <t>オサ</t>
    </rPh>
    <rPh sb="244" eb="245">
      <t>ムネ</t>
    </rPh>
    <rPh sb="246" eb="248">
      <t>ゲツジ</t>
    </rPh>
    <rPh sb="248" eb="250">
      <t>ホウコク</t>
    </rPh>
    <rPh sb="251" eb="253">
      <t>ホウコク</t>
    </rPh>
    <rPh sb="262" eb="264">
      <t>キキン</t>
    </rPh>
    <phoneticPr fontId="2"/>
  </si>
  <si>
    <t>104_1</t>
    <phoneticPr fontId="2"/>
  </si>
  <si>
    <t>基金・宮脇</t>
    <rPh sb="0" eb="2">
      <t>キキン</t>
    </rPh>
    <rPh sb="3" eb="5">
      <t>ミヤワキ</t>
    </rPh>
    <phoneticPr fontId="2"/>
  </si>
  <si>
    <t>令和8年度以降</t>
    <rPh sb="3" eb="5">
      <t>ネンド</t>
    </rPh>
    <rPh sb="5" eb="7">
      <t>イコウ</t>
    </rPh>
    <phoneticPr fontId="2"/>
  </si>
  <si>
    <t>国民は過去5年分の患者サマリーのみ閲覧できる。
長期保存フラグが立っているアレルギー情報や感染症情報は5年経過後表示されなくなる。</t>
    <rPh sb="3" eb="5">
      <t>カコ</t>
    </rPh>
    <rPh sb="6" eb="8">
      <t>ネンブン</t>
    </rPh>
    <rPh sb="24" eb="28">
      <t>チョウキホゾン</t>
    </rPh>
    <rPh sb="32" eb="33">
      <t>タ</t>
    </rPh>
    <rPh sb="42" eb="44">
      <t>ジョウホウ</t>
    </rPh>
    <rPh sb="45" eb="50">
      <t>カンセンショウジョウホウ</t>
    </rPh>
    <rPh sb="52" eb="56">
      <t>ネンケイカゴ</t>
    </rPh>
    <rPh sb="56" eb="58">
      <t>ヒョウジ</t>
    </rPh>
    <phoneticPr fontId="2"/>
  </si>
  <si>
    <t>患者サマリー閲覧機能</t>
    <rPh sb="0" eb="2">
      <t>カンジャ</t>
    </rPh>
    <rPh sb="6" eb="10">
      <t>エツランキノウ</t>
    </rPh>
    <phoneticPr fontId="2"/>
  </si>
  <si>
    <t>2025/9/9
リリース希望時期を2028年度以降に変更</t>
    <rPh sb="13" eb="17">
      <t>キボウジキ</t>
    </rPh>
    <rPh sb="22" eb="24">
      <t>ネンド</t>
    </rPh>
    <rPh sb="24" eb="26">
      <t>イコウ</t>
    </rPh>
    <rPh sb="27" eb="29">
      <t>ヘンコウ</t>
    </rPh>
    <phoneticPr fontId="2"/>
  </si>
  <si>
    <t>112-1</t>
    <phoneticPr fontId="2"/>
  </si>
  <si>
    <t>■起票背景
モデル事業より、以下の要望を受領した。今後、電子カルテ情報共有サービス・電子処方箋について医療機関への導入推進していくためにも、​要望を踏まえ、医療機関で接続先を切り替えずにテストできる方法を検討することとなった。
＜モデル事業からの要望＞
オン資本番運用を開始している医療機関等がテストするには、患者が来院しない営業時間外に接続先を接続検証環境に切替えてテストする必要がある。また病院では特に、外来の営業時間外に接続検証環境でテストしたとしても、救急や入院患者対応が発生するため、本番環境に送信するはずのデータが接続検証環境に送信されるなど、予期しない事象が発生する可能性がある。​そのため、接続先を切り替えをせずに本番環境に接続しながらテストデータも登録できるようにしてほしい。​
■目的
接続先を切り替えをせずに本番環境に接続しながらテストデータも登録できるようにし、運用テストおよびシステム導入の促進を図る
■備考
基金より依頼を受け見積もりのために起票。
要求事項及び実施要否は未確定</t>
  </si>
  <si>
    <t>対応案A：電子カルテ/レセコンで登録データをもとに接続先を自動差配する方法
　●内容：
　・資格確認端末では本番用・検証用の連携フォルダと連携アプリケーションを並行動作させる。​
　・電子カルテ/レセコンでデータに応じて接続先を差配できるようにする。​
　・差配方法は、以下のいづれかを想定。​
　　①テスト用保険者番号​
　　②医療機関の患者ID
　●要求事項①
　　中央基盤(オン資・電処・電カル)：
　　・連携アプリケーションの環境を構築するインストーラーを新規で開発する。​
　●備考
　　　・連携アプリケーションを2つ動作させたときに資格確認端末のスペックが足りるかどうか整理する必要がある。　
　　　・医療機関(レセコン/電カル)は、電子カルテでテストデータを差配する仕組みを実装する必要がある。
　　　・ベンダに新たな仕組みを実装してもらう必要があるため、技術解説書の更新が必要となる。
　　　・外部インターフェイス仕様書やテスト関連のドキュメントに更新が必要になる。　
対応案B：外部IF仕様書のXMLレイアウトの接続先フラグをもとに差配する方法
　●内容：
　　医療機関側が作成するXMLに接続先に関するフラグを追加し、連携アプリケーションで接続先を差配する。
　●要求事項①
　　中央基盤(オン資・電処・電カル)：
　　連携アプリケーションで接続先のフラグに応じて差配できるよう更新する
　●備考
　　　・外部IFのXMLレイアウトの改修が必要　
　　　・医療機関(レセコン/電カル)は、電子カルテシステムで外部IFのXMLレイアウトにフラグを追加する
　　　・外部インターフェイス仕様書やテスト関連のドキュメントに更新が必要
■備考
基金より依頼を受け見積もりのために起票。
要求事項及び実施要否は未確定</t>
  </si>
  <si>
    <t>オン資本番運用を開始している医療機関等がテストするには、患者が来院しない営業時間外に接続先を接続検証環境に切替えてテストする必要がある</t>
    <phoneticPr fontId="2"/>
  </si>
  <si>
    <t>環境接続切り替え機能</t>
    <rPh sb="0" eb="2">
      <t>カンキョウ</t>
    </rPh>
    <rPh sb="2" eb="4">
      <t>セツゾク</t>
    </rPh>
    <rPh sb="4" eb="5">
      <t>キ</t>
    </rPh>
    <rPh sb="6" eb="7">
      <t>カ</t>
    </rPh>
    <rPh sb="8" eb="10">
      <t>キノウ</t>
    </rPh>
    <phoneticPr fontId="2"/>
  </si>
  <si>
    <t>対応案A：電子カルテ/レセコンで登録データをもとに接続先を自動差配する方法
　●要求事項①
　　中央基盤(オン資・電処・電カル)：
　　・連携アプリケーションの環境を構築するインストーラーを新規で開発する。​
　●備考
　　　・連携アプリケーションを2つ動作させたときに資格確認端末のスペックが足りるかどうか整理する必要がある。　
　　　・医療機関(レセコン/電カル)は、電子カルテでテストデータを差配する仕組みを実装する必要がある。
　　　・ベンダに新たな仕組みを実装してもらう必要があるため、技術解説書の更新が必要となる。
　　　・外部インターフェイス仕様書やテスト関連のドキュメントに更新が必要になる。　
対応案B：外部IF仕様書のXMLレイアウトの接続先フラグをもとに差配する方法
　●要求事項①
　　中央基盤(オン資・電処・電カル)：
　　連携アプリケーションで接続先のフラグに応じて差配できるよう更新する
　●備考
　　　・外部IFのXMLレイアウトの改修が必要　
　　　・医療機関(レセコン/電カル)は、電子カルテシステムで外部IFのXMLレイアウトにフラグを追加する
　　　・外部インターフェイス仕様書やテスト関連のドキュメントに更新が必要
■備考
基金より依頼を受け見積もりのために起票。
要求事項及び実施要否は未確定</t>
    <rPh sb="0" eb="2">
      <t>タイオウ</t>
    </rPh>
    <rPh sb="2" eb="3">
      <t>アン</t>
    </rPh>
    <rPh sb="40" eb="42">
      <t>ヨウキュウ</t>
    </rPh>
    <rPh sb="42" eb="44">
      <t>ジコウ</t>
    </rPh>
    <rPh sb="48" eb="52">
      <t>チュウオウキバン</t>
    </rPh>
    <rPh sb="55" eb="56">
      <t>シ</t>
    </rPh>
    <rPh sb="107" eb="109">
      <t>ビコウ</t>
    </rPh>
    <rPh sb="170" eb="172">
      <t>イリョウ</t>
    </rPh>
    <rPh sb="172" eb="174">
      <t>キカン</t>
    </rPh>
    <rPh sb="180" eb="181">
      <t>デン</t>
    </rPh>
    <rPh sb="337" eb="340">
      <t>タイオウアン</t>
    </rPh>
    <phoneticPr fontId="2"/>
  </si>
  <si>
    <t>医療機関等における本番環境から接続検証環境へ接続できる仕組みの構築</t>
    <rPh sb="0" eb="4">
      <t>イリョウキカン</t>
    </rPh>
    <rPh sb="4" eb="5">
      <t>ナド</t>
    </rPh>
    <rPh sb="9" eb="13">
      <t>ホンバンカンキョウ</t>
    </rPh>
    <rPh sb="15" eb="21">
      <t>セツゾクケンショウカンキョウ</t>
    </rPh>
    <rPh sb="22" eb="24">
      <t>セツゾク</t>
    </rPh>
    <rPh sb="27" eb="29">
      <t>シク</t>
    </rPh>
    <rPh sb="31" eb="33">
      <t>コウチク</t>
    </rPh>
    <phoneticPr fontId="2"/>
  </si>
  <si>
    <r>
      <t>健診の</t>
    </r>
    <r>
      <rPr>
        <strike/>
        <sz val="10"/>
        <color rgb="FF8BE1FF"/>
        <rFont val="Meiryo UI"/>
        <family val="3"/>
        <charset val="128"/>
      </rPr>
      <t>PDF</t>
    </r>
    <r>
      <rPr>
        <sz val="10"/>
        <color rgb="FFFF0000"/>
        <rFont val="Meiryo UI"/>
        <family val="3"/>
      </rPr>
      <t>・XML・マイナポ表示における「健診種別」の表示追加</t>
    </r>
    <rPh sb="0" eb="2">
      <t>ケンシン</t>
    </rPh>
    <rPh sb="15" eb="17">
      <t>ヒョウジ</t>
    </rPh>
    <rPh sb="22" eb="24">
      <t>ケンシン</t>
    </rPh>
    <rPh sb="24" eb="26">
      <t>シュベツ</t>
    </rPh>
    <rPh sb="28" eb="30">
      <t>ヒョウジ</t>
    </rPh>
    <rPh sb="30" eb="32">
      <t>ツイカ</t>
    </rPh>
    <phoneticPr fontId="2"/>
  </si>
  <si>
    <t>健診結果帳票を見て、自分自身が何の健診を受診したのかがわからない</t>
    <phoneticPr fontId="2"/>
  </si>
  <si>
    <t>健診情報閲覧結果</t>
    <phoneticPr fontId="2"/>
  </si>
  <si>
    <t>健診情報閲覧結果(医療機関向け、マイナポータル向け)のXMLに、健診種別のカラムを追加する。
■備考
どの健診かが患者も医療機関も分かったほうがいいとは思っているが、優先度は低く、各健診制度所管への確認等も必要なため、実施したとしても３月リリースとする。</t>
    <phoneticPr fontId="2"/>
  </si>
  <si>
    <t xml:space="preserve">外部IF
</t>
    <rPh sb="0" eb="2">
      <t>ガイブ</t>
    </rPh>
    <phoneticPr fontId="2"/>
  </si>
  <si>
    <r>
      <t>健診の</t>
    </r>
    <r>
      <rPr>
        <strike/>
        <sz val="10"/>
        <color theme="0" tint="-0.249977111117893"/>
        <rFont val="Meiryo UI"/>
        <family val="3"/>
        <charset val="128"/>
      </rPr>
      <t>PDF</t>
    </r>
    <r>
      <rPr>
        <sz val="10"/>
        <color theme="0" tint="-0.249977111117893"/>
        <rFont val="Meiryo UI"/>
        <family val="3"/>
        <charset val="128"/>
      </rPr>
      <t>・XML・マイナポ表示における「健診種別」の表示追加</t>
    </r>
    <rPh sb="0" eb="2">
      <t>ケンシン</t>
    </rPh>
    <rPh sb="15" eb="17">
      <t>ヒョウジ</t>
    </rPh>
    <rPh sb="22" eb="24">
      <t>ケンシン</t>
    </rPh>
    <rPh sb="24" eb="26">
      <t>シュベツ</t>
    </rPh>
    <rPh sb="28" eb="30">
      <t>ヒョウジ</t>
    </rPh>
    <rPh sb="30" eb="32">
      <t>ツイカ</t>
    </rPh>
    <phoneticPr fontId="2"/>
  </si>
  <si>
    <t>2025/8/18
※起票</t>
    <rPh sb="11" eb="13">
      <t>キヒョウ</t>
    </rPh>
    <phoneticPr fontId="2"/>
  </si>
  <si>
    <t>137_1</t>
  </si>
  <si>
    <t>検査・感染症コードとJLACコードマスタの突合におけるメッセージIDの変更（「アドオンチェックルール不変#91」の変更）</t>
    <rPh sb="0" eb="2">
      <t>ケンサ</t>
    </rPh>
    <rPh sb="3" eb="6">
      <t>カンセンショウ</t>
    </rPh>
    <rPh sb="21" eb="23">
      <t>トツゴウ</t>
    </rPh>
    <rPh sb="35" eb="37">
      <t>ヘンコウ</t>
    </rPh>
    <rPh sb="57" eb="59">
      <t>ヘンコウ</t>
    </rPh>
    <phoneticPr fontId="2"/>
  </si>
  <si>
    <t>observationリソース検査・感染症情報において、「検査・感染症コードが共有項目JLACコードマスタと一致しない場合、「情報(インフォメーション)」を返却する。アドオンチェックが実装されているが、本チェックのメッセージIDをCISS0024E-&gt;CISS0024Iに変更する</t>
    <rPh sb="15" eb="17">
      <t>ケンサ</t>
    </rPh>
    <rPh sb="18" eb="23">
      <t>カンセンショウジョウホウ</t>
    </rPh>
    <rPh sb="78" eb="80">
      <t>ヘンキャク</t>
    </rPh>
    <rPh sb="92" eb="94">
      <t>ジッソウ</t>
    </rPh>
    <rPh sb="101" eb="102">
      <t>ホン</t>
    </rPh>
    <rPh sb="136" eb="138">
      <t>ヘンコウ</t>
    </rPh>
    <phoneticPr fontId="2"/>
  </si>
  <si>
    <t>■起票背景
情報を返すメッセージであるためメッセージIDの末尾を”I”にするのが適切である。
■目的
実装と合っているメッセージを実装する</t>
    <rPh sb="1" eb="5">
      <t>キヒョウハイケイ</t>
    </rPh>
    <rPh sb="6" eb="8">
      <t>ジョウホウ</t>
    </rPh>
    <rPh sb="9" eb="10">
      <t>カエ</t>
    </rPh>
    <rPh sb="29" eb="31">
      <t>マツビ</t>
    </rPh>
    <rPh sb="40" eb="42">
      <t>テキセツ</t>
    </rPh>
    <rPh sb="49" eb="51">
      <t>モクテキ</t>
    </rPh>
    <rPh sb="52" eb="54">
      <t>ジッソウ</t>
    </rPh>
    <rPh sb="55" eb="56">
      <t>ア</t>
    </rPh>
    <rPh sb="66" eb="68">
      <t>ジッソウ</t>
    </rPh>
    <phoneticPr fontId="2"/>
  </si>
  <si>
    <t>医療従事者が誤ったエラーメッセージを受け取るリスクを減らすことが可能となる。</t>
    <rPh sb="0" eb="5">
      <t>イリョウジュウジシャ</t>
    </rPh>
    <rPh sb="6" eb="7">
      <t>アヤマ</t>
    </rPh>
    <rPh sb="18" eb="19">
      <t>ウ</t>
    </rPh>
    <rPh sb="20" eb="21">
      <t>ト</t>
    </rPh>
    <rPh sb="26" eb="27">
      <t>ヘ</t>
    </rPh>
    <rPh sb="32" eb="34">
      <t>カノウ</t>
    </rPh>
    <phoneticPr fontId="2"/>
  </si>
  <si>
    <t>令和8年3月</t>
    <rPh sb="0" eb="2">
      <t>レイワ</t>
    </rPh>
    <rPh sb="3" eb="4">
      <t>ネン</t>
    </rPh>
    <rPh sb="5" eb="6">
      <t>ガツ</t>
    </rPh>
    <phoneticPr fontId="2"/>
  </si>
  <si>
    <t>■要求事項
既存のメッセージID "CISS0024E"の末尾を "I"に変更し、"CISS0024I"とする。
対象：Observationリソース　検査・感染症情報　code.coding.code</t>
    <rPh sb="6" eb="8">
      <t>キソン</t>
    </rPh>
    <rPh sb="29" eb="31">
      <t>マツビ</t>
    </rPh>
    <rPh sb="37" eb="39">
      <t>ヘンコウ</t>
    </rPh>
    <phoneticPr fontId="2"/>
  </si>
  <si>
    <t>アドオンチェック機能</t>
    <rPh sb="8" eb="10">
      <t>キノウ</t>
    </rPh>
    <phoneticPr fontId="2"/>
  </si>
  <si>
    <t>案件区分</t>
    <phoneticPr fontId="2"/>
  </si>
  <si>
    <t>001</t>
  </si>
  <si>
    <t>001_01</t>
  </si>
  <si>
    <t>文書情報</t>
    <phoneticPr fontId="2"/>
  </si>
  <si>
    <t>紹介先医療機関における閲覧保留患者情報の伏字対応</t>
    <phoneticPr fontId="2"/>
  </si>
  <si>
    <t>閲覧保留患者情報を紹介先医療機関が閲覧する際に伏字にする
(併せて、受診当日の伏字解除をする機能を追加実装する)</t>
    <phoneticPr fontId="2"/>
  </si>
  <si>
    <t>■起票背景
閲覧保留の状態の文書が「自施設宛て文書情報一覧」に表示される際に、当該閲覧保留の文書における患者の情報（資格情報、生年月日、患者氏名、性別）が個人情報保護の観点から紹介先医療機関に表示されないように非表示にする必要があるのではないかと、法令担当者による確認において指摘されたため起票。
■目的
閲覧保留の状態では、まだ紹介先医療機関に紹介状を見せることに患者が同意していないため、当該文書にかかる患者情報（資格情報、生年月日、患者氏名、性別）を紹介先医療機関が把握できないように制御する。
一方、紹介先医療機関に受診した後は、来院患者が閲覧保留となっていることを把握できないと、診療に影響を及ぼすため、来院時点以降は当該文書にかかる患者情報（資格情報、生年月日、患者氏名）を紹介先医療機関側で確認できるようにする。</t>
    <rPh sb="73" eb="75">
      <t>セイベツ</t>
    </rPh>
    <rPh sb="224" eb="226">
      <t>セイベツ</t>
    </rPh>
    <phoneticPr fontId="2"/>
  </si>
  <si>
    <t>個人情報保護委員会：調整中</t>
    <rPh sb="0" eb="9">
      <t>コジンジョウホウホゴイインカイ</t>
    </rPh>
    <rPh sb="10" eb="13">
      <t>チョウセイチュウ</t>
    </rPh>
    <phoneticPr fontId="2"/>
  </si>
  <si>
    <t xml:space="preserve">取り下げ理由：厚労より個人情報保護委員会への確認した結果、取り下げ
（7/7開発課題検討会）
</t>
    <rPh sb="0" eb="1">
      <t>ト</t>
    </rPh>
    <rPh sb="2" eb="3">
      <t>サ</t>
    </rPh>
    <rPh sb="4" eb="6">
      <t>リユウ</t>
    </rPh>
    <rPh sb="7" eb="9">
      <t>コウロウ</t>
    </rPh>
    <rPh sb="29" eb="30">
      <t>ト</t>
    </rPh>
    <rPh sb="31" eb="32">
      <t>サ</t>
    </rPh>
    <rPh sb="38" eb="40">
      <t>カイハツ</t>
    </rPh>
    <rPh sb="40" eb="42">
      <t>カダイ</t>
    </rPh>
    <rPh sb="42" eb="44">
      <t>ケントウ</t>
    </rPh>
    <rPh sb="44" eb="45">
      <t>カイ</t>
    </rPh>
    <phoneticPr fontId="2"/>
  </si>
  <si>
    <t>要求事項１
機能：自施設宛文書情報一覧
内容：文書ステータスが閲覧保留の場合、患者情報（資格情報、生年月日、患者氏名、性別）に係る項目が表示されないように伏字に設定する。
要求事項２
機能：自施設宛文書情報一覧
内容：紹介先医療機関の顔認証付きカードリーダーで資格確認したタイミング以降では文書ステータスが閲覧保留の場合であっても、患者情報（資格情報、生年月日、患者氏名、性別）に係る項目が表示されるようにする。
要求事項３
機能：文書情報検索機能
内容：文書ステータスが閲覧保留の場合、資格確認端末の文書情報検索画面においても、患者情報（資格情報、生年月日、患者氏名、性別）に係る項目が表示されないように伏字に設定する。
要求事項4
機能：文書情報検索機能
内容：紹介先医療機関の顔認証付きカードリーダーで資格確認したタイミング以降では文書ステータスが閲覧保留の場合であっても、資格確認端末の文書情報検索画面にて、患者情報（資格情報、生年月日、患者氏名、性別）に係る項目が表示されるようにする。
■備考
医政局内で、本件の対応が必要ないという整理はついたため、基本的には対応不要となる見込み。念のため、個人情報保護委員会に最終的な見解を確認しているため、その結果によっては案件として発生する。</t>
    <phoneticPr fontId="2"/>
  </si>
  <si>
    <t>紹介先医療機関は、まだ紹介先医療機関に紹介状を見せることに患者が同意していない状態にもかかわらず、どの患者（資格情報、生年月日、患者氏名含む）が閲覧保留としているのかを把握することができてしまう。</t>
    <phoneticPr fontId="2"/>
  </si>
  <si>
    <t>自施設宛文書情報一覧</t>
    <phoneticPr fontId="2"/>
  </si>
  <si>
    <t>要求事項１
文書ステータスが閲覧保留の場合、患者情報（資格情報、生年月日、患者氏名、性別）に係る項目が表示されないように伏字に設定する。
要求事項２
紹介先医療機関の顔認証付きカードリーダーで資格確認したタイミング以降では文書ステータスが閲覧保留の場合であっても、患者情報（資格情報、生年月日、患者氏名、性別）に係る項目が表示されるようにする。
■備考
医政局内で、本件の対応が必要ないという整理はついたため、基本的には対応不要となる見込み。念のため、個人情報保護委員会に最終的な見解を確認しているため、その結果によっては案件として発生する。</t>
    <rPh sb="42" eb="44">
      <t>セイベツ</t>
    </rPh>
    <rPh sb="153" eb="155">
      <t>セイベツ</t>
    </rPh>
    <phoneticPr fontId="2"/>
  </si>
  <si>
    <t>状況確認</t>
    <rPh sb="0" eb="4">
      <t>ジョウキョウカクニン</t>
    </rPh>
    <phoneticPr fontId="2"/>
  </si>
  <si>
    <r>
      <t xml:space="preserve">・個人情報保護委員会への問い合わせ状況を確認したい。
</t>
    </r>
    <r>
      <rPr>
        <sz val="10"/>
        <color rgb="FFFF0000"/>
        <rFont val="Meiryo UI"/>
        <family val="3"/>
        <charset val="128"/>
      </rPr>
      <t>→進捗なし</t>
    </r>
    <r>
      <rPr>
        <sz val="10"/>
        <rFont val="Meiryo UI"/>
        <family val="3"/>
        <charset val="128"/>
      </rPr>
      <t xml:space="preserve">
</t>
    </r>
    <r>
      <rPr>
        <strike/>
        <sz val="10"/>
        <rFont val="Meiryo UI"/>
        <family val="3"/>
        <charset val="128"/>
      </rPr>
      <t>※留意点：顔認証CRにおける同意取得の際、医療機関の端末に伏字情報が伏字無しで連携される</t>
    </r>
    <r>
      <rPr>
        <sz val="10"/>
        <rFont val="Meiryo UI"/>
        <family val="3"/>
        <charset val="128"/>
      </rPr>
      <t xml:space="preserve">
</t>
    </r>
    <r>
      <rPr>
        <sz val="10"/>
        <color rgb="FFFF0000"/>
        <rFont val="Meiryo UI"/>
        <family val="3"/>
        <charset val="128"/>
      </rPr>
      <t>→要求事項4を満たせば問題なし</t>
    </r>
    <rPh sb="1" eb="10">
      <t>コジンジョウホウホゴイインカイ</t>
    </rPh>
    <rPh sb="12" eb="13">
      <t>ト</t>
    </rPh>
    <rPh sb="14" eb="15">
      <t>ア</t>
    </rPh>
    <rPh sb="17" eb="19">
      <t>ジョウキョウ</t>
    </rPh>
    <rPh sb="20" eb="22">
      <t>カクニン</t>
    </rPh>
    <rPh sb="28" eb="30">
      <t>シンチョク</t>
    </rPh>
    <rPh sb="35" eb="38">
      <t>リュウイテン</t>
    </rPh>
    <rPh sb="80" eb="84">
      <t>ヨウキュウジコウ</t>
    </rPh>
    <rPh sb="86" eb="87">
      <t>ミ</t>
    </rPh>
    <rPh sb="90" eb="92">
      <t>モンダイ</t>
    </rPh>
    <phoneticPr fontId="2"/>
  </si>
  <si>
    <t>要求事項１
機能：自施設宛文書情報一覧
内容：文書ステータスが閲覧保留の場合、患者情報（資格情報、生年月日、患者氏名、性別）に係る項目が表示されないように伏字に設定する。
要求事項２
機能：自施設宛文書情報一覧
内容：紹介先医療機関の顔認証付きカードリーダーで資格確認したタイミング以降では文書ステータスが閲覧保留の場合であっても、患者情報（資格情報、生年月日、患者氏名、性別）に係る項目が表示されるようにする。
要求事項３
機能：文書情報検索機能
内容：文書ステータスが閲覧保留の場合、資格確認端末の文書情報検索画面においても、患者情報（資格情報、生年月日、患者氏名、性別）に係る項目が表示されないように伏字に設定する。
要求事項4
機能：文書情報検索機能
内容：紹介先医療機関の顔認証付きカードリーダーで資格確認したタイミング以降では文書ステータスが閲覧保留の場合であっても、資格確認端末の文書情報検索画面にて、患者情報（資格情報、生年月日、患者氏名、性別）に係る項目が表示されるようにする。
■備考
医政局内で、本件の対応が必要ないという整理はついたため、基本的には対応不要となる見込み。念のため、個人情報保護委員会に最終的な見解を確認しているため、その結果によっては案件として発生する。</t>
    <rPh sb="59" eb="61">
      <t>セイベツ</t>
    </rPh>
    <rPh sb="187" eb="189">
      <t>セイベツ</t>
    </rPh>
    <rPh sb="209" eb="211">
      <t>ヨウキュウ</t>
    </rPh>
    <rPh sb="211" eb="213">
      <t>ジコウ</t>
    </rPh>
    <rPh sb="315" eb="317">
      <t>ヨウキュウ</t>
    </rPh>
    <rPh sb="317" eb="319">
      <t>ジコウ</t>
    </rPh>
    <phoneticPr fontId="2"/>
  </si>
  <si>
    <t>文書情報検索機能</t>
    <phoneticPr fontId="2"/>
  </si>
  <si>
    <t>要求事項１
機能：文書情報検索機能
内容：文書ステータスが閲覧保留の場合、資格確認端末の文書情報検索画面においても、患者情報（資格情報、生年月日、患者氏名、性別）に係る項目が表示されないように伏字に設定する。
要求事項２
機能：文書情報検索機能
内容：紹介先医療機関の顔認証付きカードリーダーで資格確認したタイミング以降では文書ステータスが閲覧保留の場合であっても、資格確認端末の文書情報検索画面にて、患者情報（資格情報、生年月日、患者氏名、性別）に係る項目が表示されるようにする。
■備考
医政局内で、本件の対応が必要ないという整理はついたため、基本的には対応不要となる見込み。念のため、個人情報保護委員会に最終的な見解を確認しているため、その結果によっては案件として発生する。</t>
    <rPh sb="0" eb="4">
      <t>ヨウキュウジコウ</t>
    </rPh>
    <phoneticPr fontId="2"/>
  </si>
  <si>
    <t>002</t>
  </si>
  <si>
    <t>002_01</t>
  </si>
  <si>
    <t>医療扶助者の文書情報の閲覧保制御</t>
    <rPh sb="0" eb="2">
      <t>イリョウ</t>
    </rPh>
    <rPh sb="2" eb="4">
      <t>フジョ</t>
    </rPh>
    <rPh sb="4" eb="5">
      <t>シャ</t>
    </rPh>
    <rPh sb="6" eb="8">
      <t>ブンショ</t>
    </rPh>
    <rPh sb="8" eb="10">
      <t>ジョウホウ</t>
    </rPh>
    <rPh sb="11" eb="13">
      <t>エツラン</t>
    </rPh>
    <rPh sb="13" eb="14">
      <t>ホ</t>
    </rPh>
    <rPh sb="14" eb="16">
      <t>セイギョ</t>
    </rPh>
    <phoneticPr fontId="2"/>
  </si>
  <si>
    <t>医療扶助者の閲覧保留を制御する(患者が自身で医療機関を選択できないため)</t>
    <phoneticPr fontId="2"/>
  </si>
  <si>
    <t>003</t>
  </si>
  <si>
    <t>003_01</t>
  </si>
  <si>
    <t>紹介先医療機関の名称チェック</t>
    <phoneticPr fontId="2"/>
  </si>
  <si>
    <t>紹介先医療機関名称と保険医療機関番号との合致チェックするためのアドオンチェック機能を追加実装する</t>
    <phoneticPr fontId="2"/>
  </si>
  <si>
    <t>■起票背景
診療情報提供書に記載される紹介先医療機関の医療機関番号と医療機関名称が一致しているかのチェックは現行行われていないことを検知。
現行の仕様としては、診療情報提供書に記載される紹介先医療機関の医療機関番号だけをみて、紹介先医療機関を特定する仕様となっている。
■目的
医療機関等システム側の紹介先医療機関に関する紐づけ誤りが発生した場合でも、中央側のバリデーションチェックで防げるようにすること。</t>
  </si>
  <si>
    <t>医師が想定していない医療機関に診療情報提供書が送られない</t>
    <phoneticPr fontId="2"/>
  </si>
  <si>
    <t>機能：アドオンチェック機能
内容：診療情報提供書における紹介先医療機関の医療機関番号(Organization.identifier.value)と医療機関名称(Organization.name)の対応が医療機関等マスタと一致しているかのチェックを行う。不一致の場合はエラーとする。</t>
    <phoneticPr fontId="2"/>
  </si>
  <si>
    <t>医療機関側で、医療機関番号と医療機関名称の紐づけ誤りをしてしまった場合には、医師が想定していない医療機関に診療情報提供書が送られてしまう可能性がある。</t>
    <phoneticPr fontId="2"/>
  </si>
  <si>
    <t>診療情報提供書における紹介先医療機関の医療機関番号(Organization.identifier.value)と医療機関名称(Organization.name)の対応が医療機関等マスタと一致しているかのチェックを行う。不一致の場合はエラーとする。</t>
    <phoneticPr fontId="2"/>
  </si>
  <si>
    <t>004</t>
  </si>
  <si>
    <t>004_01</t>
  </si>
  <si>
    <t>文書情報の変更に伴う閲覧同意の遷移制御</t>
    <rPh sb="0" eb="4">
      <t>ブンショジョウホウ</t>
    </rPh>
    <rPh sb="5" eb="7">
      <t>ヘンコウ</t>
    </rPh>
    <rPh sb="8" eb="9">
      <t>トモナ</t>
    </rPh>
    <rPh sb="10" eb="12">
      <t>エツラン</t>
    </rPh>
    <rPh sb="12" eb="14">
      <t>ドウイ</t>
    </rPh>
    <rPh sb="15" eb="17">
      <t>センイ</t>
    </rPh>
    <rPh sb="17" eb="19">
      <t>セイギョ</t>
    </rPh>
    <phoneticPr fontId="2"/>
  </si>
  <si>
    <t>紹介元医療機関の文書情報変更によって、閲覧同意の状態（閲覧同意なし、閲覧同意あり）を変更することができることに起因する、『患者が同意したにもかかわらず「同意なし」に戻るケース』の制御</t>
    <phoneticPr fontId="2"/>
  </si>
  <si>
    <t>■起票背景
紹介元医療機関が閲覧保留の状態の文書を登録し、患者が当該閲覧保留文書に対して閲覧同意の操作を行った後、
診療情報提供書の内容誤り等の理由で紹介元医療機関の文書の変更登録を行った場合、当該文書の同意ステータスが「閲覧保留」に戻ってしまう事象を検知。
■目的
患者が一度閲覧同意した文書について、その後紹介元医療機関側の事情による文書変更があったとしても、再度患者が閲覧保留文書に対する閲覧同意操作を行わなくてもよいようにする。</t>
    <phoneticPr fontId="2"/>
  </si>
  <si>
    <t>ｓ</t>
  </si>
  <si>
    <t>令和7年12月</t>
    <phoneticPr fontId="2"/>
  </si>
  <si>
    <t>文書情報の変更</t>
    <rPh sb="0" eb="4">
      <t>ブンショジョウホウ</t>
    </rPh>
    <rPh sb="5" eb="7">
      <t>ヘンコウ</t>
    </rPh>
    <phoneticPr fontId="2"/>
  </si>
  <si>
    <t>■要求事項
機能：文書同意管理機能
内容：患者の同意操作により閲覧保留→閲覧可のステータスになった文書について、閲覧可のステータスとなった後に紹介元医療機関により文書変更が行われた場合に、電子カルテ情報共有サービス側で過去の患者の同意情報を反映し、文書を閲覧可のステータスにする。
※宛先が変更された場合は同意情報を書き換えない。宛先以外の診療情報提供書の内容変更であれば同意情報を書き換えてよいとする。</t>
    <phoneticPr fontId="2"/>
  </si>
  <si>
    <t>■課題
患者が一度閲覧同意したにもかかわらず、紹介元医療機関側の事情によって、患者に対して、再度閲覧同意の操作を行ってもらう必要が生じる。</t>
    <phoneticPr fontId="2"/>
  </si>
  <si>
    <t>患者の同意操作により閲覧保留→閲覧可のステータスになった文書について、閲覧可のステータスとなった後に紹介元医療機関により文書変更が行われた場合に、電子カルテ情報共有サービス側で過去の患者の同意情報を反映し、文書を閲覧可のステータスにする。
※宛先が変更された場合は同意情報を書き換えない。宛先以外の診療情報提供書の内容変更であれば同意情報を書き換えてよいとする。</t>
    <phoneticPr fontId="2"/>
  </si>
  <si>
    <t>005</t>
    <phoneticPr fontId="2"/>
  </si>
  <si>
    <t>005_01</t>
  </si>
  <si>
    <t>自施設宛文書情報一覧取得機能の返却項目追加</t>
    <phoneticPr fontId="2"/>
  </si>
  <si>
    <t>自施設宛文書情報一覧取得機能の医療機関への返却項目に「（紹介先医療機関の）診療科目」、「（紹介先医療機関の）医師名」、「患者情報（性別）」を追加する。</t>
    <phoneticPr fontId="2"/>
  </si>
  <si>
    <t>■起票背景
実地検証にて、本サービスの利便性向上案として以下の要望を受領。
---
自施設宛文書情報一覧取得機能の返却項目に以下を追加したい
・「(紹介先医療機関の)診療科目」、「(紹介先医療機関の)医師名」
・「患者情報（性別）」
■目的
自施設内の具体的な宛先(診療科・医師氏名)や、患者属性の情報が追加されることで受け取る病院側の利便性を向上する。</t>
    <phoneticPr fontId="2"/>
  </si>
  <si>
    <t>自施設の具体的な宛先、患者属性の情報が追加されることで受け取る病院側の利便性が向上する。</t>
    <rPh sb="0" eb="1">
      <t>ジ</t>
    </rPh>
    <rPh sb="1" eb="3">
      <t>シセツ</t>
    </rPh>
    <rPh sb="4" eb="7">
      <t>グタイテキ</t>
    </rPh>
    <rPh sb="8" eb="10">
      <t>アテサキ</t>
    </rPh>
    <rPh sb="11" eb="13">
      <t>カンジャ</t>
    </rPh>
    <rPh sb="13" eb="15">
      <t>ゾクセイ</t>
    </rPh>
    <rPh sb="16" eb="18">
      <t>ジョウホウ</t>
    </rPh>
    <rPh sb="19" eb="21">
      <t>ツイカ</t>
    </rPh>
    <rPh sb="27" eb="28">
      <t>ウ</t>
    </rPh>
    <rPh sb="29" eb="30">
      <t>ト</t>
    </rPh>
    <rPh sb="31" eb="33">
      <t>ビョウイン</t>
    </rPh>
    <rPh sb="33" eb="34">
      <t>ガワ</t>
    </rPh>
    <rPh sb="35" eb="38">
      <t>リベンセイ</t>
    </rPh>
    <rPh sb="39" eb="41">
      <t>コウジョウ</t>
    </rPh>
    <phoneticPr fontId="2"/>
  </si>
  <si>
    <t>JAHIS：未着手（IF追加共有の観点）</t>
    <rPh sb="6" eb="9">
      <t>ミチャクシュ</t>
    </rPh>
    <rPh sb="17" eb="19">
      <t>カンテン</t>
    </rPh>
    <phoneticPr fontId="2"/>
  </si>
  <si>
    <t>文書情報の閲覧</t>
    <rPh sb="0" eb="4">
      <t>ブンショジョウホウ</t>
    </rPh>
    <rPh sb="5" eb="7">
      <t>エツラン</t>
    </rPh>
    <phoneticPr fontId="2"/>
  </si>
  <si>
    <t>■要求事項
機能：自施設宛文書情報一覧結果
内容：自施設宛文書情報一覧取得機能の医療機関への返却項目に「（紹介先医療機関の）診療科目」、「（紹介先医療機関の）医師名」、「患者情報（性別）」を追加する。</t>
    <phoneticPr fontId="2"/>
  </si>
  <si>
    <t>■課題
大規模病院の場合、医師が自分宛てに来ている文書を一覧からピックアップできない。</t>
    <phoneticPr fontId="2"/>
  </si>
  <si>
    <t>自施設宛文書情報一覧取得機能</t>
    <rPh sb="0" eb="1">
      <t>ジ</t>
    </rPh>
    <rPh sb="1" eb="3">
      <t>シセツ</t>
    </rPh>
    <rPh sb="3" eb="4">
      <t>アテ</t>
    </rPh>
    <rPh sb="4" eb="6">
      <t>ブンショ</t>
    </rPh>
    <rPh sb="6" eb="8">
      <t>ジョウホウ</t>
    </rPh>
    <rPh sb="8" eb="10">
      <t>イチラン</t>
    </rPh>
    <rPh sb="10" eb="12">
      <t>シュトク</t>
    </rPh>
    <rPh sb="12" eb="14">
      <t>キノウ</t>
    </rPh>
    <phoneticPr fontId="2"/>
  </si>
  <si>
    <t>内容：自施設宛文書情報一覧取得機能の医療機関への返却項目に「（紹介先医療機関の）診療科目」、「（紹介先医療機関の）医師名」、「患者情報（性別）」を追加する。</t>
    <phoneticPr fontId="2"/>
  </si>
  <si>
    <t>自施設宛文書情報一覧取得結果（CIS-IF-112）</t>
    <phoneticPr fontId="2"/>
  </si>
  <si>
    <t>008</t>
  </si>
  <si>
    <t>008_01</t>
  </si>
  <si>
    <t>退院時サマリー</t>
  </si>
  <si>
    <t>退院時サマリの単独送付</t>
    <rPh sb="0" eb="2">
      <t>タイイン</t>
    </rPh>
    <rPh sb="2" eb="3">
      <t>ジ</t>
    </rPh>
    <rPh sb="7" eb="9">
      <t>タンドク</t>
    </rPh>
    <rPh sb="9" eb="11">
      <t>ソウフ</t>
    </rPh>
    <phoneticPr fontId="2"/>
  </si>
  <si>
    <t>退院サマリーを単体でも電子カルテ情報共有サービスに登録できるようにする</t>
  </si>
  <si>
    <t>009</t>
  </si>
  <si>
    <t>009_01</t>
  </si>
  <si>
    <t>任意追加項目セクション対応</t>
  </si>
  <si>
    <t>健診種別ごとに任意追加項目セクションを規定し、保険者に連携が必要な検査項目のみを連携する。</t>
  </si>
  <si>
    <r>
      <t>・厚労省が10月11日に発出した保険者向け事務連絡</t>
    </r>
    <r>
      <rPr>
        <vertAlign val="superscript"/>
        <sz val="11"/>
        <color rgb="FF0000FF"/>
        <rFont val="Meiryo UI"/>
        <family val="3"/>
        <charset val="128"/>
      </rPr>
      <t>※</t>
    </r>
    <r>
      <rPr>
        <sz val="11"/>
        <color rgb="FF0000FF"/>
        <rFont val="Meiryo UI"/>
        <family val="3"/>
      </rPr>
      <t>において、医療機関から電子カルテ共有サービスにHL7 FHIRで登録する健診文書として、「制度等で実施が規定されていない健診項目等」を「任意追加項目セクション」というセクション（構造）で記録する方針が決まった。
・一方、現行システムでは、「任意追加項目セクション」を想定していないシステム構成となっているため、保険者へ連携する健診文書には「任意追加項目セクション」が出現せず、“別のセクション”で健診項目が出現してしまい、事務連絡のデータ定義と齟齬が発生する状況。
・そのため、任意追加項目セクションに記録されている健診項目を正しく「任意追加項目セクションに記録されている項目」として保険者に健診文書を連携する仕組みを実装することを目的とする。
※事務連絡「電子カルテ情報共有サービスにおける健診結果報告書の保険者の取り扱いについて」</t>
    </r>
    <rPh sb="136" eb="138">
      <t>ゲンコウ</t>
    </rPh>
    <rPh sb="335" eb="337">
      <t>ジッソウ</t>
    </rPh>
    <rPh sb="342" eb="344">
      <t>モクテキ</t>
    </rPh>
    <phoneticPr fontId="2"/>
  </si>
  <si>
    <t>保険者：済（事務連絡発出済）</t>
    <rPh sb="0" eb="3">
      <t>ホケンシャ</t>
    </rPh>
    <rPh sb="4" eb="5">
      <t>スミ</t>
    </rPh>
    <rPh sb="6" eb="13">
      <t>ジムレンラクハッシュツスミ</t>
    </rPh>
    <phoneticPr fontId="2"/>
  </si>
  <si>
    <t>令和7年7月</t>
    <rPh sb="0" eb="2">
      <t>レイワ</t>
    </rPh>
    <rPh sb="3" eb="4">
      <t>ネン</t>
    </rPh>
    <rPh sb="5" eb="6">
      <t>ガツ</t>
    </rPh>
    <phoneticPr fontId="2"/>
  </si>
  <si>
    <t>4/4 要件確定</t>
    <rPh sb="4" eb="6">
      <t>ヨウケン</t>
    </rPh>
    <rPh sb="6" eb="8">
      <t>カクテイ</t>
    </rPh>
    <phoneticPr fontId="2"/>
  </si>
  <si>
    <t>健診文書の登録</t>
    <rPh sb="0" eb="2">
      <t>ケンシン</t>
    </rPh>
    <rPh sb="2" eb="4">
      <t>ブンショ</t>
    </rPh>
    <rPh sb="5" eb="7">
      <t>トウロク</t>
    </rPh>
    <phoneticPr fontId="2"/>
  </si>
  <si>
    <t>医療機関が健診文書を登録した際、健診項目とセクションの組み合わせが正しいことを確認して、組み合わせが正しい場合のみオン資に登録する。
登録条件は下記のとおり。
①健診項目が健診マスタに存在する場合
　①-1 健診項目とセクションの組み合わせが正しい場合
　　→オン資に正常に登録される
　①-2 健診項目とセクションの組み合わせが正しくない場合
　　→エラーとなりオン資に登録されない
②健診項目が健診マスタに存在しない場合
　→ワーニング（登録されない旨をメッセージ出力）となりオン資に登録されない</t>
    <rPh sb="0" eb="2">
      <t>イリョウ</t>
    </rPh>
    <rPh sb="2" eb="4">
      <t>キカン</t>
    </rPh>
    <rPh sb="5" eb="7">
      <t>ケンシン</t>
    </rPh>
    <rPh sb="7" eb="9">
      <t>ブンショ</t>
    </rPh>
    <rPh sb="10" eb="12">
      <t>トウロク</t>
    </rPh>
    <rPh sb="14" eb="15">
      <t>サイ</t>
    </rPh>
    <rPh sb="16" eb="18">
      <t>ケンシン</t>
    </rPh>
    <rPh sb="18" eb="20">
      <t>コウモク</t>
    </rPh>
    <rPh sb="27" eb="28">
      <t>ク</t>
    </rPh>
    <rPh sb="29" eb="30">
      <t>ア</t>
    </rPh>
    <rPh sb="33" eb="34">
      <t>タダ</t>
    </rPh>
    <rPh sb="39" eb="41">
      <t>カクニン</t>
    </rPh>
    <rPh sb="44" eb="45">
      <t>ク</t>
    </rPh>
    <rPh sb="46" eb="47">
      <t>ア</t>
    </rPh>
    <rPh sb="50" eb="51">
      <t>タダ</t>
    </rPh>
    <rPh sb="53" eb="55">
      <t>バアイ</t>
    </rPh>
    <rPh sb="61" eb="63">
      <t>トウロク</t>
    </rPh>
    <rPh sb="68" eb="72">
      <t>トウロクジョウケン</t>
    </rPh>
    <rPh sb="76" eb="78">
      <t>ソンザイ</t>
    </rPh>
    <rPh sb="80" eb="82">
      <t>バアイ</t>
    </rPh>
    <rPh sb="87" eb="89">
      <t>ケンシン</t>
    </rPh>
    <rPh sb="99" eb="100">
      <t>ク</t>
    </rPh>
    <rPh sb="101" eb="102">
      <t>ア</t>
    </rPh>
    <rPh sb="111" eb="113">
      <t>ソンザイ</t>
    </rPh>
    <rPh sb="115" eb="117">
      <t>バアイ</t>
    </rPh>
    <rPh sb="122" eb="123">
      <t>タダ</t>
    </rPh>
    <rPh sb="126" eb="127">
      <t>シ</t>
    </rPh>
    <rPh sb="129" eb="131">
      <t>レンケイ</t>
    </rPh>
    <rPh sb="138" eb="140">
      <t>トウロク</t>
    </rPh>
    <rPh sb="151" eb="153">
      <t>コウモク</t>
    </rPh>
    <rPh sb="166" eb="167">
      <t>タダ</t>
    </rPh>
    <rPh sb="187" eb="189">
      <t>トウロク</t>
    </rPh>
    <rPh sb="194" eb="196">
      <t>バアイ</t>
    </rPh>
    <rPh sb="212" eb="214">
      <t>トウロク</t>
    </rPh>
    <rPh sb="222" eb="224">
      <t>トウロク</t>
    </rPh>
    <rPh sb="228" eb="229">
      <t>ムネ</t>
    </rPh>
    <rPh sb="235" eb="237">
      <t>シュツリョク</t>
    </rPh>
    <rPh sb="245" eb="247">
      <t>トウロク</t>
    </rPh>
    <phoneticPr fontId="2"/>
  </si>
  <si>
    <t>健診項目とセクションの整合性チェックを行なっていない。
登録条件は下記のとおり。
①健診項目が健診マスタに存在する場合
　→正常にオン資に登録される
②健診項目が健診マスタに存在しない場合
　→エラーとなりオン資に登録されない</t>
    <rPh sb="0" eb="2">
      <t>ケンシン</t>
    </rPh>
    <rPh sb="2" eb="4">
      <t>コウモク</t>
    </rPh>
    <rPh sb="11" eb="14">
      <t>セイゴウセイ</t>
    </rPh>
    <rPh sb="19" eb="20">
      <t>オコナ</t>
    </rPh>
    <rPh sb="29" eb="31">
      <t>トウロク</t>
    </rPh>
    <rPh sb="31" eb="33">
      <t>ジョウケン</t>
    </rPh>
    <rPh sb="34" eb="36">
      <t>カキ</t>
    </rPh>
    <rPh sb="63" eb="65">
      <t>セイジョウ</t>
    </rPh>
    <rPh sb="70" eb="72">
      <t>トウロク</t>
    </rPh>
    <rPh sb="108" eb="110">
      <t>トウロク</t>
    </rPh>
    <phoneticPr fontId="2"/>
  </si>
  <si>
    <t>バリデーションチェック機能（アドオンチェック）</t>
    <rPh sb="11" eb="13">
      <t>キノウ</t>
    </rPh>
    <phoneticPr fontId="2"/>
  </si>
  <si>
    <t xml:space="preserve">健診項目とセクションの組み合わせが定義されている健診マスタを用いたチェック処理を実装し、組み合わせが正しい場合のみオン資に登録する。
チェック処理の詳細は下記のとおり。
①健診項目が健診マスタに存在する場合
　①-1 健診マスタとセクションの組み合わせが健診マスタに存在する場合
　　→チェック結果：正常、オン資への連携：登録する
　①-2 健診マスタとセクションの組み合わせが健診マスタに存在しない場合
　　→チェック結果：エラー、オン資への連携：登録しない
②健診項目が健診マスタに存在しない場合
　→チェック結果：ワーニング（登録されない旨のメッセージ出力）、オン資への連携：登録しない
※健診マスタ（電子カルテ情報共有サービス向け健診マスタv1.2）のレイアウト及びデータは厚労省にて検討しており、現時点でまだ公開されていない。
</t>
    <rPh sb="17" eb="19">
      <t>テイギ</t>
    </rPh>
    <rPh sb="24" eb="26">
      <t>ケンシン</t>
    </rPh>
    <rPh sb="30" eb="31">
      <t>モチ</t>
    </rPh>
    <rPh sb="37" eb="39">
      <t>ショリ</t>
    </rPh>
    <rPh sb="40" eb="42">
      <t>ジッソウ</t>
    </rPh>
    <rPh sb="72" eb="74">
      <t>ショリ</t>
    </rPh>
    <rPh sb="75" eb="77">
      <t>ショウサイ</t>
    </rPh>
    <rPh sb="78" eb="80">
      <t>カキ</t>
    </rPh>
    <rPh sb="87" eb="89">
      <t>ケンシン</t>
    </rPh>
    <rPh sb="89" eb="91">
      <t>コウモク</t>
    </rPh>
    <rPh sb="92" eb="94">
      <t>ケンシン</t>
    </rPh>
    <rPh sb="98" eb="100">
      <t>ソンザイ</t>
    </rPh>
    <rPh sb="102" eb="104">
      <t>バアイ</t>
    </rPh>
    <rPh sb="110" eb="112">
      <t>ケンシン</t>
    </rPh>
    <rPh sb="122" eb="123">
      <t>ク</t>
    </rPh>
    <rPh sb="124" eb="125">
      <t>ア</t>
    </rPh>
    <rPh sb="128" eb="129">
      <t>タダ</t>
    </rPh>
    <rPh sb="131" eb="133">
      <t>バアイ</t>
    </rPh>
    <rPh sb="141" eb="143">
      <t>ケッカ</t>
    </rPh>
    <rPh sb="144" eb="146">
      <t>セイジョウ</t>
    </rPh>
    <rPh sb="149" eb="150">
      <t>シ</t>
    </rPh>
    <rPh sb="152" eb="154">
      <t>レンケイ</t>
    </rPh>
    <rPh sb="155" eb="157">
      <t>レンケイ</t>
    </rPh>
    <rPh sb="162" eb="164">
      <t>トウロク</t>
    </rPh>
    <rPh sb="226" eb="228">
      <t>トウロク</t>
    </rPh>
    <rPh sb="242" eb="244">
      <t>バアイ</t>
    </rPh>
    <rPh sb="280" eb="282">
      <t>シュツリョク</t>
    </rPh>
    <rPh sb="292" eb="294">
      <t>トウロク</t>
    </rPh>
    <rPh sb="331" eb="334">
      <t>コウロウショウ</t>
    </rPh>
    <phoneticPr fontId="2"/>
  </si>
  <si>
    <t>009_02</t>
  </si>
  <si>
    <t>任意追加項目セクション対応</t>
    <phoneticPr fontId="2"/>
  </si>
  <si>
    <t>健診種別ごとに任意追加項目セクションを規定し、保険者に連携が必要な検査項目のみを連携する。</t>
    <rPh sb="27" eb="29">
      <t>レンケイ</t>
    </rPh>
    <rPh sb="30" eb="32">
      <t>ヒツヨウ</t>
    </rPh>
    <rPh sb="33" eb="37">
      <t>ケンサコウモク</t>
    </rPh>
    <rPh sb="40" eb="42">
      <t>レンケイ</t>
    </rPh>
    <phoneticPr fontId="2"/>
  </si>
  <si>
    <r>
      <t>・厚労省が10月11日に発出した保険者向け事務連絡</t>
    </r>
    <r>
      <rPr>
        <vertAlign val="superscript"/>
        <sz val="11"/>
        <color theme="0" tint="-0.249977111117893"/>
        <rFont val="Meiryo UI"/>
        <family val="3"/>
        <charset val="128"/>
      </rPr>
      <t>※</t>
    </r>
    <r>
      <rPr>
        <sz val="11"/>
        <color theme="0" tint="-0.249977111117893"/>
        <rFont val="Meiryo UI"/>
        <family val="3"/>
        <charset val="128"/>
      </rPr>
      <t>において、医療機関から電子カルテ共有サービスにHL7 FHIRで登録する健診文書として、「制度等で実施が規定されていない健診項目等」を「任意追加項目セクション」というセクション（構造）で記録する方針が決まった。
・一方、現行システムでは、「任意追加項目セクション」を想定していないシステム構成となっているため、保険者へ連携する健診文書には「任意追加項目セクション」が出現せず、“別のセクション”で健診項目が出現してしまい、事務連絡のデータ定義と齟齬が発生する状況。
・そのため、任意追加項目セクションに記録されている健診項目を正しく「任意追加項目セクションに記録されている項目」として保険者に健診文書を連携する仕組みを実装することを目的とする。
※事務連絡「電子カルテ情報共有サービスにおける健診結果報告書の保険者の取り扱いについて」</t>
    </r>
    <rPh sb="136" eb="138">
      <t>ゲンコウ</t>
    </rPh>
    <rPh sb="335" eb="337">
      <t>ジッソウ</t>
    </rPh>
    <rPh sb="342" eb="344">
      <t>モクテキ</t>
    </rPh>
    <phoneticPr fontId="2"/>
  </si>
  <si>
    <t>保険者：済（事務連絡発出済）</t>
    <phoneticPr fontId="2"/>
  </si>
  <si>
    <t>健診文書の閲覧（保険者）</t>
    <rPh sb="0" eb="2">
      <t>ケンシン</t>
    </rPh>
    <rPh sb="2" eb="4">
      <t>ブンショ</t>
    </rPh>
    <rPh sb="5" eb="7">
      <t>エツラン</t>
    </rPh>
    <rPh sb="8" eb="11">
      <t>ホケンシャ</t>
    </rPh>
    <phoneticPr fontId="2"/>
  </si>
  <si>
    <t>保険者が任意追加項目セクションに登録された健診項目を「任意追加項目セクション」の健診項目としてXML（CDA）で取得可能とする。電カル共有サービスはHL7 FHIRであるが、オン資ではCDAで管理しているため、セクションコードはHL7 FHIR用からCDA用に置き換えてオン資に登録する。
セクションコードのHL7 FHIRとCDAの対応表は下記事務連絡にて定義されている。
電子カルテ情報共有サービスにおける健診結果報告書の保険者の取り扱いについて（事務連絡）
https://www.mhlw.go.jp/content/10800000/001316291.pdf
・別表8 健診データセクションコード
（例）特健の場合
・特定健診検査結果セクション（01011）と特定健診問診結果セクション（01012）で送付された場合、特定健診・問診結果セクション（01010）としてオン資に登録する。
・任意追加項目セクション（01990）で送付された場合、任意追加項目セクション（01990）としてオン資に登録する。
※当該機能リリースまでに登録された健診文書については、オン資上のデータを修正し、任意追加項目セクションに登録された健診項目は、任意追加項目セクションの情報としてCDA（XML）で出力されるようにする。</t>
    <rPh sb="64" eb="65">
      <t>デン</t>
    </rPh>
    <rPh sb="67" eb="69">
      <t>キョウユウ</t>
    </rPh>
    <rPh sb="89" eb="90">
      <t>シ</t>
    </rPh>
    <rPh sb="96" eb="98">
      <t>カンリ</t>
    </rPh>
    <rPh sb="122" eb="123">
      <t>ヨウ</t>
    </rPh>
    <rPh sb="128" eb="129">
      <t>ヨウ</t>
    </rPh>
    <rPh sb="130" eb="131">
      <t>オ</t>
    </rPh>
    <rPh sb="132" eb="133">
      <t>カ</t>
    </rPh>
    <rPh sb="137" eb="138">
      <t>シ</t>
    </rPh>
    <rPh sb="139" eb="141">
      <t>トウロク</t>
    </rPh>
    <rPh sb="168" eb="170">
      <t>タイオウ</t>
    </rPh>
    <rPh sb="170" eb="171">
      <t>ヒョウ</t>
    </rPh>
    <rPh sb="308" eb="309">
      <t>レイ</t>
    </rPh>
    <rPh sb="310" eb="312">
      <t>トクケン</t>
    </rPh>
    <rPh sb="313" eb="315">
      <t>バアイ</t>
    </rPh>
    <rPh sb="317" eb="319">
      <t>トクテイ</t>
    </rPh>
    <rPh sb="319" eb="321">
      <t>ケンシン</t>
    </rPh>
    <rPh sb="321" eb="323">
      <t>ケンサ</t>
    </rPh>
    <rPh sb="323" eb="325">
      <t>ケッカ</t>
    </rPh>
    <rPh sb="338" eb="340">
      <t>トクテイ</t>
    </rPh>
    <rPh sb="340" eb="342">
      <t>ケンシン</t>
    </rPh>
    <rPh sb="342" eb="344">
      <t>モンシン</t>
    </rPh>
    <rPh sb="344" eb="346">
      <t>ケッカ</t>
    </rPh>
    <rPh sb="359" eb="361">
      <t>ソウフ</t>
    </rPh>
    <rPh sb="364" eb="366">
      <t>バアイ</t>
    </rPh>
    <rPh sb="367" eb="369">
      <t>トクテイ</t>
    </rPh>
    <rPh sb="369" eb="371">
      <t>ケンシン</t>
    </rPh>
    <rPh sb="372" eb="374">
      <t>モンシン</t>
    </rPh>
    <rPh sb="374" eb="376">
      <t>ケッカ</t>
    </rPh>
    <rPh sb="395" eb="397">
      <t>トウロク</t>
    </rPh>
    <rPh sb="402" eb="404">
      <t>ニンイ</t>
    </rPh>
    <rPh sb="404" eb="406">
      <t>ツイカ</t>
    </rPh>
    <rPh sb="406" eb="408">
      <t>コウモク</t>
    </rPh>
    <rPh sb="421" eb="423">
      <t>ソウフ</t>
    </rPh>
    <rPh sb="426" eb="428">
      <t>バアイ</t>
    </rPh>
    <rPh sb="462" eb="464">
      <t>トウガイ</t>
    </rPh>
    <rPh sb="464" eb="466">
      <t>キノウ</t>
    </rPh>
    <phoneticPr fontId="2"/>
  </si>
  <si>
    <t>医療機関等が任意追加項目セクション（01990）として登録した検査項目が、オン資から出力する際に任意追加項目セクションではなく、別のセクションとして出力される。
（例）特健の場合
医療機関等が任意追加項目セクション（01990）として送付した健診項目が、特定健診・問診結果セクション（01010）として登録される。</t>
    <rPh sb="0" eb="5">
      <t>イリョウキカントウ</t>
    </rPh>
    <rPh sb="6" eb="8">
      <t>ニンイ</t>
    </rPh>
    <rPh sb="8" eb="10">
      <t>ツイカ</t>
    </rPh>
    <rPh sb="10" eb="12">
      <t>コウモク</t>
    </rPh>
    <rPh sb="27" eb="29">
      <t>トウロク</t>
    </rPh>
    <rPh sb="31" eb="35">
      <t>ケンサコウモク</t>
    </rPh>
    <rPh sb="42" eb="44">
      <t>シュツリョク</t>
    </rPh>
    <rPh sb="46" eb="47">
      <t>サイ</t>
    </rPh>
    <rPh sb="48" eb="50">
      <t>ニンイ</t>
    </rPh>
    <rPh sb="50" eb="52">
      <t>ツイカ</t>
    </rPh>
    <rPh sb="52" eb="54">
      <t>コウモク</t>
    </rPh>
    <rPh sb="64" eb="65">
      <t>ベツ</t>
    </rPh>
    <rPh sb="74" eb="76">
      <t>シュツリョク</t>
    </rPh>
    <rPh sb="83" eb="84">
      <t>レイ</t>
    </rPh>
    <rPh sb="91" eb="96">
      <t>イリョウキカントウ</t>
    </rPh>
    <rPh sb="97" eb="99">
      <t>ニンイ</t>
    </rPh>
    <rPh sb="99" eb="101">
      <t>ツイカ</t>
    </rPh>
    <rPh sb="101" eb="103">
      <t>コウモク</t>
    </rPh>
    <rPh sb="118" eb="120">
      <t>ソウフ</t>
    </rPh>
    <rPh sb="122" eb="124">
      <t>ケンシン</t>
    </rPh>
    <rPh sb="124" eb="126">
      <t>コウモク</t>
    </rPh>
    <rPh sb="152" eb="154">
      <t>トウロク</t>
    </rPh>
    <phoneticPr fontId="2"/>
  </si>
  <si>
    <t>健診文書の登録機能</t>
    <rPh sb="5" eb="7">
      <t>トウロク</t>
    </rPh>
    <rPh sb="7" eb="9">
      <t>キノウ</t>
    </rPh>
    <phoneticPr fontId="2"/>
  </si>
  <si>
    <t>オン資に登録する際、セクションコードは別表8 健診データセクションコードに従ってセクションを変換してオン資に登録する。
セクションコードのHL7 FHIRとCDAの対応表は下記事務連絡にて定義されている。
電子カルテ情報共有サービスにおける健診結果報告書の保険者の取り扱いについて（事務連絡）
https://www.mhlw.go.jp/content/10800000/001316291.pdf
・別表8 健診データセクションコード
（例）特健の場合
・特定健診検査結果セクション（01011）と特定健診問診結果セクション（01012）で送付された場合、特定健診・問診結果セクション（01010）としてオン資に登録する。
・任意追加項目セクション（01990）で送付された場合、任意追加項目セクション（01990）としてオン資に登録する。
※当該機能リリースまでに登録された健診文書については、オン資上のデータを修正し、任意追加項目セクションに登録された健診項目は、任意追加項目セクションの情報としてXML（CDA）で出力されるようにする</t>
    <rPh sb="19" eb="21">
      <t>ベッピョウ</t>
    </rPh>
    <rPh sb="23" eb="25">
      <t>ケンシン</t>
    </rPh>
    <rPh sb="37" eb="38">
      <t>シタガ</t>
    </rPh>
    <rPh sb="46" eb="48">
      <t>ヘンカン</t>
    </rPh>
    <rPh sb="54" eb="56">
      <t>トウロク</t>
    </rPh>
    <rPh sb="59" eb="60">
      <t>ナイ</t>
    </rPh>
    <phoneticPr fontId="2"/>
  </si>
  <si>
    <t>009_03</t>
  </si>
  <si>
    <t>・厚労省が10月11日に発出した保険者向け事務連絡※の別紙において、本サービスで取り扱う健診項目については、全て保険者に連携する方針が示され、それに則り開発を進めてきた。
・一方、それ以前の「健康・医療・介護情報利活用検討会 医療等情報利活用ワーキンググループ」では、一部健診種別では「制度上必須ではない健診項目は保険者に連携しない」という方針を示していたため、「一部健診項目は保険者に連携しない仕組みにする必要がある」と厚労省より改修方針が1月頃示されたところ。
・そのため、一部項目(制度で規定されていない健診項目等)は保険者に連携しない仕組みを開発する必要がある。※連携対象外項目については厚労省にて検討中</t>
    <phoneticPr fontId="2"/>
  </si>
  <si>
    <t>保険者が健診文書を閲覧する際、制度上保険者に非開示の健診項目は表示させない。</t>
    <rPh sb="0" eb="3">
      <t>ホケンシャ</t>
    </rPh>
    <rPh sb="4" eb="8">
      <t>ケンシンブンショ</t>
    </rPh>
    <rPh sb="9" eb="11">
      <t>エツラン</t>
    </rPh>
    <rPh sb="13" eb="14">
      <t>サイ</t>
    </rPh>
    <rPh sb="15" eb="18">
      <t>セイドジョウ</t>
    </rPh>
    <rPh sb="18" eb="21">
      <t>ホケンシャ</t>
    </rPh>
    <rPh sb="22" eb="25">
      <t>ヒカイジ</t>
    </rPh>
    <rPh sb="26" eb="28">
      <t>ケンシン</t>
    </rPh>
    <rPh sb="28" eb="30">
      <t>コウモク</t>
    </rPh>
    <rPh sb="31" eb="33">
      <t>ヒョウジ</t>
    </rPh>
    <phoneticPr fontId="2"/>
  </si>
  <si>
    <t>保険者が健診文書を閲覧する際、オン資に登録されている検査項目すべてが表示される。</t>
    <rPh sb="4" eb="6">
      <t>ケンシン</t>
    </rPh>
    <rPh sb="6" eb="8">
      <t>ブンショ</t>
    </rPh>
    <rPh sb="9" eb="11">
      <t>エツラン</t>
    </rPh>
    <rPh sb="13" eb="14">
      <t>サイ</t>
    </rPh>
    <rPh sb="17" eb="18">
      <t>シ</t>
    </rPh>
    <rPh sb="19" eb="21">
      <t>トウロク</t>
    </rPh>
    <rPh sb="34" eb="36">
      <t>ヒョウジ</t>
    </rPh>
    <phoneticPr fontId="2"/>
  </si>
  <si>
    <t>健診文書の保険者連携機能</t>
  </si>
  <si>
    <t>保険者に送付対象の健診項目は健診マスタに定義し、健診マスタを参照して保険者に開示する健診項目の制御を行う。
※健診マスタ（電子カルテ情報共有サービス向け健診マスタv1.2）のレイアウト及びデータは厚労省にて検討しており、現時点でまだ公開されていない。</t>
    <rPh sb="0" eb="3">
      <t>ホケンシャ</t>
    </rPh>
    <rPh sb="4" eb="6">
      <t>ソウフ</t>
    </rPh>
    <rPh sb="6" eb="8">
      <t>タイショウ</t>
    </rPh>
    <rPh sb="9" eb="11">
      <t>ケンシン</t>
    </rPh>
    <rPh sb="11" eb="13">
      <t>コウモク</t>
    </rPh>
    <rPh sb="14" eb="16">
      <t>ケンシン</t>
    </rPh>
    <rPh sb="20" eb="22">
      <t>テイギ</t>
    </rPh>
    <rPh sb="38" eb="40">
      <t>カイジ</t>
    </rPh>
    <phoneticPr fontId="2"/>
  </si>
  <si>
    <t>010</t>
    <phoneticPr fontId="2"/>
  </si>
  <si>
    <t>010_01</t>
  </si>
  <si>
    <t>古い被保番対応</t>
    <phoneticPr fontId="2"/>
  </si>
  <si>
    <t xml:space="preserve">・医療機関等が健診文書を登録する際古い被保番が記載されていた場合、健診実施日時点の被保番への「資格情報の振替処理」を実施し、正しい保険者にのみ健診文書を連携する機能を実装する。
</t>
    <rPh sb="1" eb="3">
      <t>イリョウ</t>
    </rPh>
    <rPh sb="3" eb="5">
      <t>キカン</t>
    </rPh>
    <rPh sb="5" eb="6">
      <t>トウ</t>
    </rPh>
    <rPh sb="7" eb="9">
      <t>ケンシン</t>
    </rPh>
    <rPh sb="9" eb="11">
      <t>ブンショ</t>
    </rPh>
    <rPh sb="12" eb="14">
      <t>トウロク</t>
    </rPh>
    <rPh sb="16" eb="17">
      <t>サイ</t>
    </rPh>
    <rPh sb="17" eb="18">
      <t>フル</t>
    </rPh>
    <rPh sb="19" eb="20">
      <t>ヒ</t>
    </rPh>
    <rPh sb="20" eb="21">
      <t>ホ</t>
    </rPh>
    <rPh sb="21" eb="22">
      <t>バン</t>
    </rPh>
    <rPh sb="23" eb="25">
      <t>キサイ</t>
    </rPh>
    <rPh sb="30" eb="32">
      <t>バアイ</t>
    </rPh>
    <rPh sb="33" eb="35">
      <t>ケンシン</t>
    </rPh>
    <rPh sb="35" eb="37">
      <t>ジッシ</t>
    </rPh>
    <rPh sb="37" eb="38">
      <t>ビ</t>
    </rPh>
    <rPh sb="38" eb="40">
      <t>ジテン</t>
    </rPh>
    <rPh sb="41" eb="42">
      <t>ヒ</t>
    </rPh>
    <rPh sb="42" eb="43">
      <t>ホ</t>
    </rPh>
    <rPh sb="43" eb="44">
      <t>バン</t>
    </rPh>
    <rPh sb="47" eb="49">
      <t>シカク</t>
    </rPh>
    <rPh sb="49" eb="51">
      <t>ジョウホウ</t>
    </rPh>
    <rPh sb="52" eb="54">
      <t>フリカエ</t>
    </rPh>
    <rPh sb="54" eb="56">
      <t>ショリ</t>
    </rPh>
    <rPh sb="58" eb="60">
      <t>ジッシ</t>
    </rPh>
    <rPh sb="62" eb="63">
      <t>タダ</t>
    </rPh>
    <rPh sb="65" eb="68">
      <t>ホケンシャ</t>
    </rPh>
    <rPh sb="71" eb="73">
      <t>ケンシン</t>
    </rPh>
    <rPh sb="73" eb="75">
      <t>ブンショ</t>
    </rPh>
    <rPh sb="76" eb="78">
      <t>レンケイ</t>
    </rPh>
    <rPh sb="80" eb="82">
      <t>キノウ</t>
    </rPh>
    <rPh sb="83" eb="85">
      <t>ジッソウ</t>
    </rPh>
    <phoneticPr fontId="2"/>
  </si>
  <si>
    <t xml:space="preserve">・医療機関等が登録する健診文書において、医療機関等で最新の被保番を把握しておらず、過去に有効であった被保険者番号（以下「古い被保番」とする）が記録されていた場合、誤った保険者に健診文書を連携してしまう可能性がある。
・健診文書に記録されている被保険者番号が過去は有効であったが、健診実施日時点では別の有効な被保険者番号が存在する場合、登録元の健診機関にワーニングを返却し、資格情報の振替を行った上で、その被保険者番号を管理する保険者に健診文書を連携する。
</t>
    <rPh sb="5" eb="6">
      <t>トウ</t>
    </rPh>
    <rPh sb="7" eb="9">
      <t>トウロク</t>
    </rPh>
    <rPh sb="26" eb="28">
      <t>サイシン</t>
    </rPh>
    <rPh sb="29" eb="30">
      <t>ヒ</t>
    </rPh>
    <rPh sb="30" eb="32">
      <t>ホバン</t>
    </rPh>
    <rPh sb="33" eb="35">
      <t>ハアク</t>
    </rPh>
    <rPh sb="41" eb="43">
      <t>カコ</t>
    </rPh>
    <rPh sb="44" eb="46">
      <t>ユウコウ</t>
    </rPh>
    <rPh sb="50" eb="54">
      <t>ヒホケンシャ</t>
    </rPh>
    <rPh sb="54" eb="56">
      <t>バンゴウ</t>
    </rPh>
    <rPh sb="57" eb="59">
      <t>イカ</t>
    </rPh>
    <rPh sb="60" eb="61">
      <t>フル</t>
    </rPh>
    <rPh sb="62" eb="65">
      <t>ヒホバン</t>
    </rPh>
    <rPh sb="71" eb="73">
      <t>キロク</t>
    </rPh>
    <rPh sb="78" eb="80">
      <t>バアイ</t>
    </rPh>
    <rPh sb="81" eb="82">
      <t>アヤマ</t>
    </rPh>
    <rPh sb="84" eb="87">
      <t>ホケンシャ</t>
    </rPh>
    <rPh sb="93" eb="95">
      <t>レンケイ</t>
    </rPh>
    <rPh sb="100" eb="103">
      <t>カノウセイ</t>
    </rPh>
    <rPh sb="114" eb="116">
      <t>キロク</t>
    </rPh>
    <rPh sb="121" eb="125">
      <t>ヒホケンシャ</t>
    </rPh>
    <rPh sb="125" eb="127">
      <t>バンゴウ</t>
    </rPh>
    <rPh sb="128" eb="130">
      <t>カコ</t>
    </rPh>
    <rPh sb="131" eb="133">
      <t>ユウコウ</t>
    </rPh>
    <rPh sb="139" eb="141">
      <t>ケンシン</t>
    </rPh>
    <rPh sb="141" eb="143">
      <t>ジッシ</t>
    </rPh>
    <rPh sb="143" eb="144">
      <t>ヒ</t>
    </rPh>
    <rPh sb="144" eb="146">
      <t>ジテン</t>
    </rPh>
    <rPh sb="148" eb="149">
      <t>ベツ</t>
    </rPh>
    <rPh sb="150" eb="152">
      <t>ユウコウ</t>
    </rPh>
    <rPh sb="153" eb="157">
      <t>ヒホケンシャ</t>
    </rPh>
    <rPh sb="157" eb="159">
      <t>バンゴウ</t>
    </rPh>
    <rPh sb="160" eb="162">
      <t>ソンザイ</t>
    </rPh>
    <rPh sb="164" eb="166">
      <t>バアイ</t>
    </rPh>
    <rPh sb="167" eb="170">
      <t>トウロクモト</t>
    </rPh>
    <rPh sb="171" eb="175">
      <t>ケンシンキカン</t>
    </rPh>
    <rPh sb="182" eb="184">
      <t>ヘンキャク</t>
    </rPh>
    <rPh sb="186" eb="190">
      <t>シカクジョウホウ</t>
    </rPh>
    <rPh sb="191" eb="193">
      <t>フリカエ</t>
    </rPh>
    <rPh sb="194" eb="195">
      <t>オコナ</t>
    </rPh>
    <rPh sb="197" eb="198">
      <t>ウエ</t>
    </rPh>
    <rPh sb="202" eb="203">
      <t>ヒ</t>
    </rPh>
    <rPh sb="203" eb="206">
      <t>ホケンシャ</t>
    </rPh>
    <rPh sb="206" eb="208">
      <t>バンゴウ</t>
    </rPh>
    <rPh sb="209" eb="211">
      <t>カンリ</t>
    </rPh>
    <rPh sb="213" eb="216">
      <t>ホケンシャ</t>
    </rPh>
    <rPh sb="222" eb="224">
      <t>レンケイ</t>
    </rPh>
    <phoneticPr fontId="2"/>
  </si>
  <si>
    <t>法令：済</t>
    <rPh sb="0" eb="2">
      <t>ホウレイ</t>
    </rPh>
    <rPh sb="3" eb="4">
      <t>スミ</t>
    </rPh>
    <phoneticPr fontId="2"/>
  </si>
  <si>
    <t>4/4 要件確定
6/10　「健診文書の健診実施日に有効な資格情報が2件以上の場合　」の仕様を更新</t>
    <rPh sb="4" eb="6">
      <t>ヨウケン</t>
    </rPh>
    <rPh sb="6" eb="8">
      <t>カクテイ</t>
    </rPh>
    <rPh sb="45" eb="47">
      <t>シヨウ</t>
    </rPh>
    <rPh sb="48" eb="50">
      <t>コウシン</t>
    </rPh>
    <phoneticPr fontId="2"/>
  </si>
  <si>
    <t>健診文書の登録</t>
    <rPh sb="0" eb="4">
      <t>ケンシンブンショ</t>
    </rPh>
    <rPh sb="5" eb="7">
      <t>トウロク</t>
    </rPh>
    <phoneticPr fontId="2"/>
  </si>
  <si>
    <r>
      <t xml:space="preserve">医療機関が健診文書を登録した際、記録された健診実施日時点で有効な被保番を払い出した保険者に連携する。
詳細は下記のとおり。例）健診文書に記録された被保番は健保Aとする。
①健診文書の健診実施日に有効な資格情報が0件の場合
　→健診文書の登録は行わない。要求元の医療機関には有効な資格情報がない旨のエラーを返す。
②健診文書の健診実施日に有効な資格情報が1件の場合
　②-1 健診文書の健診実施日に有効な資格情報は健保Aの場合
　　→健診文書の登録を行う。要求元の医療機関には正常を返す。
　②-2 健診文書の健診実施日に有効な資格情報は健保Bの場合
　　→被保番を健保Bに置き換えた上で健診情報を登録する。要求元の医療機関には被保番を変更した旨のワーニングを返す。
</t>
    </r>
    <r>
      <rPr>
        <b/>
        <sz val="11"/>
        <color rgb="FF0000FF"/>
        <rFont val="Meiryo UI"/>
        <family val="3"/>
        <charset val="128"/>
      </rPr>
      <t xml:space="preserve">
③健診文書の健診実施日に有効な資格情報が2件以上の場合　　</t>
    </r>
    <r>
      <rPr>
        <b/>
        <strike/>
        <sz val="11"/>
        <color rgb="FF0000FF"/>
        <rFont val="Meiryo UI"/>
        <family val="3"/>
        <charset val="128"/>
      </rPr>
      <t xml:space="preserve">※要件未確定
</t>
    </r>
    <r>
      <rPr>
        <b/>
        <sz val="11"/>
        <color rgb="FF0000FF"/>
        <rFont val="Meiryo UI"/>
        <family val="3"/>
        <charset val="128"/>
      </rPr>
      <t xml:space="preserve">　③-1 健診文書の健診実施日に有効な資格情報は健保B、健保Cの場合
　　→健診文書の登録は行わない。要求元の医療機関には有効な資格情報がない旨のエラーを返す。
　③-2 健診文書の健診実施日に有効な資格情報は健保A、健保Bの場合
</t>
    </r>
    <r>
      <rPr>
        <b/>
        <strike/>
        <sz val="11"/>
        <color rgb="FF0000FF"/>
        <rFont val="Meiryo UI"/>
        <family val="3"/>
        <charset val="128"/>
      </rPr>
      <t xml:space="preserve">　　→案A(医療機関等が記録した被保番を正とする場合)：健保Aで健診文書の登録を行う。要求元の医療機関には正常を返す。
</t>
    </r>
    <r>
      <rPr>
        <b/>
        <sz val="11"/>
        <color rgb="FF0000FF"/>
        <rFont val="Meiryo UI"/>
        <family val="3"/>
        <charset val="128"/>
      </rPr>
      <t xml:space="preserve">　　→案B(医療機関等が記録した被保番を正としない場合)：健診文書の登録は行わない。要求元の医療機関には有効な資格情報がない旨のエラーを返す。
</t>
    </r>
    <r>
      <rPr>
        <sz val="11"/>
        <color rgb="FF0000FF"/>
        <rFont val="Meiryo UI"/>
        <family val="3"/>
        <charset val="128"/>
      </rPr>
      <t xml:space="preserve">
また、XML（CDA）に健診実施日の保険者（保険者番号、被保険者等記号、非保険者等番号、枝番）を追加する。
※当該機能リリースまでに登録された健診結果報告書については、オン資上のデータを修正し、「健診実施日の保険者」を補う。
　※「被保番の振替処理」を実施するためには、省令で実施根拠を整理する必要があるため、医療機関等での「古い被保番」を用いた健診結果報告書の登録を制限するための、アドオンチェック（暫定対応として実装済み）を省令が整理されるまでは実装したままとする。なお、案件010「古い被保番対応」の恒久対応リリースに合わせて、案件070「古い被保番対応の蓋開け（古い被保番に対するアドオンチェックの削除）」にて暫定対応として実装したアドオンチェックを削除する。</t>
    </r>
    <phoneticPr fontId="2"/>
  </si>
  <si>
    <t>（暫定対応完了時点）
医療機関が登録する健診文書に古い被保番が記録されていた場合、エラーのチェック処理結果を返却する。</t>
    <rPh sb="1" eb="3">
      <t>ザンテイ</t>
    </rPh>
    <rPh sb="3" eb="5">
      <t>タイオウ</t>
    </rPh>
    <rPh sb="5" eb="7">
      <t>カンリョウ</t>
    </rPh>
    <rPh sb="7" eb="9">
      <t>ジテン</t>
    </rPh>
    <rPh sb="11" eb="13">
      <t>イリョウ</t>
    </rPh>
    <rPh sb="13" eb="15">
      <t>キカン</t>
    </rPh>
    <rPh sb="16" eb="18">
      <t>トウロク</t>
    </rPh>
    <rPh sb="20" eb="22">
      <t>ケンシン</t>
    </rPh>
    <rPh sb="22" eb="24">
      <t>ブンショ</t>
    </rPh>
    <rPh sb="25" eb="26">
      <t>フル</t>
    </rPh>
    <rPh sb="27" eb="30">
      <t>ヒホバン</t>
    </rPh>
    <rPh sb="31" eb="33">
      <t>キロク</t>
    </rPh>
    <rPh sb="38" eb="40">
      <t>バアイ</t>
    </rPh>
    <rPh sb="49" eb="51">
      <t>ショリ</t>
    </rPh>
    <rPh sb="51" eb="53">
      <t>ケッカ</t>
    </rPh>
    <phoneticPr fontId="2"/>
  </si>
  <si>
    <t>健診文書の保険者連携機能</t>
    <rPh sb="7" eb="9">
      <t>キロクシカクジョウホウフリカエオコナシカクジョウホウフリカエオコナショウレイトウセイビハツレイヒツヨウハツレイシカクジョウホウフリカエオコナセイギョ</t>
    </rPh>
    <phoneticPr fontId="2"/>
  </si>
  <si>
    <r>
      <t xml:space="preserve">古い被保番が記録された健診文書が登録された場合、記録された健診実施日時点で有効な被保番を払い出した保険者に連携する。
詳細は下記のとおり。例）健診文書に記録された被保番は健保Aとする。
①健診文書の健診実施日に有効な資格情報が0件の場合
　→健診文書の登録は行わない。要求元の医療機関には有効な資格情報がない旨のエラーを返す。
②健診文書の健診実施日に有効な資格情報が1件の場合
　②-1 健診文書の健診実施日に有効な資格情報は健保Aの場合
　　→健診文書の登録を行う。要求元の医療機関には正常を返す。
　②-2 健診文書の健診実施日に有効な資格情報は健保Bの場合
　　→被保番を健保Bに置き換えた上で健診情報を登録する。要求元の医療機関には被保番を変更した旨のワーニングを返す。
</t>
    </r>
    <r>
      <rPr>
        <b/>
        <sz val="11"/>
        <color rgb="FF0000FF"/>
        <rFont val="Meiryo UI"/>
        <family val="3"/>
        <charset val="128"/>
      </rPr>
      <t>③健診文書の健診実施日に有効な資格情報が2件以上の場合　　</t>
    </r>
    <r>
      <rPr>
        <b/>
        <strike/>
        <sz val="11"/>
        <color rgb="FF0000FF"/>
        <rFont val="Meiryo UI"/>
        <family val="3"/>
        <charset val="128"/>
      </rPr>
      <t xml:space="preserve">※要件未確定
</t>
    </r>
    <r>
      <rPr>
        <b/>
        <sz val="11"/>
        <color rgb="FF0000FF"/>
        <rFont val="Meiryo UI"/>
        <family val="3"/>
        <charset val="128"/>
      </rPr>
      <t>　③-1 健診文書の健診実施日に有効な資格情報は健保B、健保Cの場合
　　→健診文書の登録は行わない。要求元の医療機関には有効な資格情報がない旨のエラーを返す。
　③-2 健診文書の健診実施日に有効な資格情報は健保A、健保Bの場合
　　</t>
    </r>
    <r>
      <rPr>
        <b/>
        <strike/>
        <sz val="11"/>
        <color rgb="FF0000FF"/>
        <rFont val="Meiryo UI"/>
        <family val="3"/>
        <charset val="128"/>
      </rPr>
      <t xml:space="preserve">→案A(医療機関等が記録した被保番を正とする場合)：健保Aで健診文書の登録を行う。要求元の医療機関には正常を返す。
</t>
    </r>
    <r>
      <rPr>
        <b/>
        <sz val="11"/>
        <color rgb="FF0000FF"/>
        <rFont val="Meiryo UI"/>
        <family val="3"/>
        <charset val="128"/>
      </rPr>
      <t xml:space="preserve">　　→案B(医療機関等が記録した被保番を正としない場合)：健診文書の登録は行わない。要求元の医療機関には有効な資格情報がない旨のエラーを返す。
</t>
    </r>
    <r>
      <rPr>
        <sz val="11"/>
        <color rgb="FF0000FF"/>
        <rFont val="Meiryo UI"/>
        <family val="3"/>
        <charset val="128"/>
      </rPr>
      <t xml:space="preserve">
また、XML（CDA）に健診実施日の保険者（保険者番号、被保険者等記号、非保険者等番号、枝番）を追加する。
※当該機能リリースまでに登録された健診結果報告書については、オン資上のデータを修正し、「健診実施日の保険者」を補う。
※「被保番の振替処理」を実施するためには、省令で実施根拠を整理する必要があるため、医療機関等での「古い被保番」を用いた健診結果報告書の登録を制限するための、アドオンチェック（暫定対応として実装済み）を省令が整理されるまでは実装したままとする。なお、案件010「古い被保番対応」の恒久対応リリースに合わせて、案件070「古い被保番対応の蓋開け（古い被保番に対するアドオンチェックの削除）」にて暫定対応として実装したアドオンチェックを削除する。</t>
    </r>
    <phoneticPr fontId="2"/>
  </si>
  <si>
    <t>012</t>
  </si>
  <si>
    <t>012_01</t>
  </si>
  <si>
    <t>PDF帳票（マイナポータル・医療機関向け）の 　「医師の判断」を「医師の診断（判定）」に変更</t>
    <phoneticPr fontId="2"/>
  </si>
  <si>
    <t>PDF帳票（マイナポータル・医療機関向け）の 　項目名「医師の判断」を「医師の診断（判定）」に変更する。</t>
  </si>
  <si>
    <t>■起票背景
医療機関等閲覧（健診情報閲覧）とマイナポータル画面で表示している項目名に差異があることを検知。
　・医療機関等閲覧（健診情報閲覧）（PDF）・・・「医師の判断」
　・マイナポータル・・・「医師の診断（判定）」
■目的
医療機関に見せる表示項目と本人に見せる表示項目の名称を一致させる。</t>
  </si>
  <si>
    <t>国民と医療従事者の記載の認識を合わせる。
また表記ゆれのままだと、後々どちらが正式な表記かわからなくなる</t>
    <rPh sb="0" eb="2">
      <t>コクミン</t>
    </rPh>
    <rPh sb="3" eb="8">
      <t>イリョウジュウジシャ</t>
    </rPh>
    <rPh sb="9" eb="11">
      <t>キサイ</t>
    </rPh>
    <rPh sb="12" eb="14">
      <t>ニンシキ</t>
    </rPh>
    <rPh sb="15" eb="16">
      <t>ア</t>
    </rPh>
    <rPh sb="23" eb="25">
      <t>ヒョウキ</t>
    </rPh>
    <rPh sb="33" eb="35">
      <t>ノチノチ</t>
    </rPh>
    <rPh sb="39" eb="41">
      <t>セイシキ</t>
    </rPh>
    <rPh sb="42" eb="44">
      <t>ヒョウキ</t>
    </rPh>
    <phoneticPr fontId="2"/>
  </si>
  <si>
    <t>健診文書の閲覧（医療機関等）</t>
    <rPh sb="0" eb="2">
      <t>ケンシン</t>
    </rPh>
    <rPh sb="2" eb="4">
      <t>ブンショ</t>
    </rPh>
    <rPh sb="5" eb="7">
      <t>エツラン</t>
    </rPh>
    <rPh sb="8" eb="10">
      <t>イリョウ</t>
    </rPh>
    <rPh sb="10" eb="12">
      <t>キカン</t>
    </rPh>
    <rPh sb="12" eb="13">
      <t>トウ</t>
    </rPh>
    <phoneticPr fontId="65"/>
  </si>
  <si>
    <t>■要求事項
機能：健診情報閲覧PDF帳票
内容：医療機関等閲覧(PDF)の項目名「医師の判断」を、マイナポータル表示の項目名に揃えて「医師の診断（判定）」に修正する。</t>
    <phoneticPr fontId="65"/>
  </si>
  <si>
    <t>■課題
運用上は特にこの違いで問題が起こる想定はないが、表記ゆれしたままだと後々どちらが正式な表記かわからなくなってしまう可能性あり。</t>
    <phoneticPr fontId="2"/>
  </si>
  <si>
    <t>健診情報の閲覧機能</t>
  </si>
  <si>
    <t>オン資</t>
    <rPh sb="2" eb="3">
      <t>シ</t>
    </rPh>
    <phoneticPr fontId="65"/>
  </si>
  <si>
    <t>医療機関等閲覧(PDF)の項目名「医師の判断」を、マイナポータル表示の項目名に揃えて「医師の診断（判定）」に修正する。</t>
    <phoneticPr fontId="2"/>
  </si>
  <si>
    <t>健診文書のPDF帳票（医療機関向け）</t>
    <rPh sb="0" eb="4">
      <t>ケンシンブンショ</t>
    </rPh>
    <rPh sb="8" eb="10">
      <t>チョウヒョウ</t>
    </rPh>
    <rPh sb="11" eb="13">
      <t>イリョウ</t>
    </rPh>
    <rPh sb="13" eb="15">
      <t>キカン</t>
    </rPh>
    <rPh sb="15" eb="16">
      <t>ム</t>
    </rPh>
    <phoneticPr fontId="65"/>
  </si>
  <si>
    <t>2025/9/5※ステークホルダーステータス更新</t>
    <phoneticPr fontId="2"/>
  </si>
  <si>
    <t>013</t>
  </si>
  <si>
    <t>013_01</t>
  </si>
  <si>
    <t>健診結果の自衛官証対応</t>
  </si>
  <si>
    <t>ACN・櫻井</t>
    <rPh sb="4" eb="6">
      <t>サクライ</t>
    </rPh>
    <phoneticPr fontId="2"/>
  </si>
  <si>
    <t>自衛隊職員に対応するため、オン資から防衛省共済組合へ連携する健診結果の「証情報」と「資格情報」の紐づけを行う</t>
    <phoneticPr fontId="2"/>
  </si>
  <si>
    <t>■起票背景
医療機関等が本サービスに登録する健診結果において、「07：自衛官診療証」が資格情報として記録された場合、 「証情報：07」と「資格情報：31」を紐づけることができない。そのため、 「資格情報：31」をキーとして収集・管理システムから健診結果の取得を行う防衛省共済組合では、「07：自衛官診療証」が資格情報として記録された健診結果を取得することができない。
■目的
医療機関等が「07：自衛官診療証」を資格情報として健診結果に記録した場合に、保険者(防衛省共済組合)が該当の健診結果を、「資格情報：31」をキーとして収集・管理システムから取得できるような仕組みを実現する。</t>
    <phoneticPr fontId="2"/>
  </si>
  <si>
    <t>防衛省：調整済（案件実施について報告、異論なし）
保険局：調整済（案件実施について報告、異論なし）
防衛省共済組合：調整済（案件実施について報告、異論なし）</t>
    <rPh sb="0" eb="3">
      <t>ボウエイショウ</t>
    </rPh>
    <rPh sb="4" eb="7">
      <t>チョウセイスミ</t>
    </rPh>
    <rPh sb="8" eb="10">
      <t>アンケン</t>
    </rPh>
    <rPh sb="10" eb="12">
      <t>ジッシ</t>
    </rPh>
    <rPh sb="16" eb="18">
      <t>ホウコク</t>
    </rPh>
    <rPh sb="19" eb="21">
      <t>イロン</t>
    </rPh>
    <rPh sb="25" eb="28">
      <t>ホケンキョク</t>
    </rPh>
    <rPh sb="29" eb="31">
      <t>チョウセイ</t>
    </rPh>
    <rPh sb="31" eb="32">
      <t>スミ</t>
    </rPh>
    <rPh sb="33" eb="35">
      <t>アンケン</t>
    </rPh>
    <rPh sb="35" eb="37">
      <t>ジッシ</t>
    </rPh>
    <rPh sb="41" eb="43">
      <t>ホウコク</t>
    </rPh>
    <rPh sb="44" eb="46">
      <t>イロン</t>
    </rPh>
    <rPh sb="50" eb="53">
      <t>ボウエイショウ</t>
    </rPh>
    <rPh sb="53" eb="55">
      <t>キョウサイ</t>
    </rPh>
    <rPh sb="55" eb="57">
      <t>クミアイ</t>
    </rPh>
    <phoneticPr fontId="2"/>
  </si>
  <si>
    <t>令和7年9月</t>
    <rPh sb="0" eb="2">
      <t>レイワ</t>
    </rPh>
    <rPh sb="3" eb="4">
      <t>ネン</t>
    </rPh>
    <rPh sb="5" eb="6">
      <t>ツキ</t>
    </rPh>
    <phoneticPr fontId="2"/>
  </si>
  <si>
    <t>■要求事項
機能：保険者連携機能
内容：医療機関等が登録する健診結果で「証情報：07」が記録された場合、オンライン資格システム側で「資格情報：31」を取得し、既存の被保険者番号等を記録する項目に記録された「証情報：07」を上書き変換処理する。</t>
  </si>
  <si>
    <t>自衛隊職員の健診結果は電子カルテ情報共有サービスを利用しての保険者連携ができない</t>
    <rPh sb="0" eb="3">
      <t>ジエイタイ</t>
    </rPh>
    <rPh sb="3" eb="5">
      <t>ショクイン</t>
    </rPh>
    <rPh sb="6" eb="8">
      <t>ケンシン</t>
    </rPh>
    <rPh sb="8" eb="10">
      <t>ケッカ</t>
    </rPh>
    <rPh sb="11" eb="13">
      <t>デンシ</t>
    </rPh>
    <rPh sb="16" eb="20">
      <t>ジョウホウキョウユウ</t>
    </rPh>
    <rPh sb="25" eb="27">
      <t>リヨウ</t>
    </rPh>
    <rPh sb="30" eb="32">
      <t>ホケン</t>
    </rPh>
    <rPh sb="32" eb="33">
      <t>ジャ</t>
    </rPh>
    <rPh sb="33" eb="35">
      <t>レンケイ</t>
    </rPh>
    <phoneticPr fontId="2"/>
  </si>
  <si>
    <t>保険者連携機能</t>
    <phoneticPr fontId="2"/>
  </si>
  <si>
    <t>医療機関等が登録する健診結果で「証情報：07」が記録された場合、オンライン資格システム側で「資格情報：31」を取得し、既存の被保険者番号等を記録する項目に記録された「証情報：07」を上書き変換処理する。</t>
    <phoneticPr fontId="2"/>
  </si>
  <si>
    <r>
      <t xml:space="preserve">年度内の改修は行わない方針で良いか確認したい。
⇒行わない場合、防衛相側との調整途中(R7年度に改修する旨を伝達)のため、調整をお願いしたい。
</t>
    </r>
    <r>
      <rPr>
        <sz val="10"/>
        <color rgb="FFFF0000"/>
        <rFont val="Meiryo UI"/>
        <family val="3"/>
        <charset val="128"/>
      </rPr>
      <t>→別途会話　★ToDo(厚労・基金)</t>
    </r>
    <rPh sb="0" eb="2">
      <t>ネンド</t>
    </rPh>
    <rPh sb="2" eb="3">
      <t>ナイ</t>
    </rPh>
    <rPh sb="4" eb="6">
      <t>カイシュウ</t>
    </rPh>
    <rPh sb="7" eb="8">
      <t>オコナ</t>
    </rPh>
    <rPh sb="11" eb="13">
      <t>ホウシン</t>
    </rPh>
    <rPh sb="14" eb="15">
      <t>ヨ</t>
    </rPh>
    <rPh sb="17" eb="19">
      <t>カクニン</t>
    </rPh>
    <rPh sb="25" eb="26">
      <t>オコナ</t>
    </rPh>
    <rPh sb="29" eb="31">
      <t>バアイ</t>
    </rPh>
    <rPh sb="32" eb="35">
      <t>ボウエイショウ</t>
    </rPh>
    <rPh sb="35" eb="36">
      <t>ガワ</t>
    </rPh>
    <rPh sb="38" eb="40">
      <t>チョウセイ</t>
    </rPh>
    <rPh sb="40" eb="42">
      <t>トチュウ</t>
    </rPh>
    <rPh sb="45" eb="47">
      <t>ネンド</t>
    </rPh>
    <rPh sb="48" eb="50">
      <t>カイシュウ</t>
    </rPh>
    <rPh sb="52" eb="53">
      <t>ムネ</t>
    </rPh>
    <rPh sb="54" eb="56">
      <t>デンタツ</t>
    </rPh>
    <rPh sb="61" eb="63">
      <t>チョウセイ</t>
    </rPh>
    <rPh sb="65" eb="66">
      <t>ネガ</t>
    </rPh>
    <rPh sb="73" eb="75">
      <t>ベット</t>
    </rPh>
    <rPh sb="75" eb="77">
      <t>カイワ</t>
    </rPh>
    <rPh sb="84" eb="86">
      <t>コウロウ</t>
    </rPh>
    <rPh sb="87" eb="89">
      <t>キキン</t>
    </rPh>
    <phoneticPr fontId="2"/>
  </si>
  <si>
    <t xml:space="preserve">014 </t>
    <phoneticPr fontId="2"/>
  </si>
  <si>
    <t>014_01</t>
  </si>
  <si>
    <t>プロファイル</t>
    <phoneticPr fontId="2"/>
  </si>
  <si>
    <t>プロファイルの取り込み</t>
    <phoneticPr fontId="2"/>
  </si>
  <si>
    <t>compositionのセクションコード（fixedvalue）のワーニングメッセージ解消</t>
  </si>
  <si>
    <t xml:space="preserve">・健診結果報告FHIR記述仕様 実装ガイド（v1.2.0）において、compositionのセクションコード（FixedValue）で定義誤りがあるため、正しくセクションコードが入力されていたとしても登録元医療機関等に「正常」ではなく「ワーニング」が返却されている。
・そのため、当該部分を修正したプロファイルを電子カルテ情報共有サービス基盤に取り込み、正しいチェック処理結果が医療機関等に返却されるようにする。
</t>
    <rPh sb="1" eb="3">
      <t>ケンシン</t>
    </rPh>
    <rPh sb="3" eb="5">
      <t>ケッカ</t>
    </rPh>
    <rPh sb="5" eb="7">
      <t>ホウコク</t>
    </rPh>
    <rPh sb="11" eb="13">
      <t>キジュツ</t>
    </rPh>
    <rPh sb="13" eb="15">
      <t>シヨウ</t>
    </rPh>
    <rPh sb="16" eb="18">
      <t>ジッソウ</t>
    </rPh>
    <rPh sb="67" eb="69">
      <t>テイギ</t>
    </rPh>
    <rPh sb="69" eb="70">
      <t>アヤマ</t>
    </rPh>
    <rPh sb="77" eb="78">
      <t>タダ</t>
    </rPh>
    <rPh sb="89" eb="91">
      <t>ニュウリョク</t>
    </rPh>
    <rPh sb="110" eb="112">
      <t>セイジョウ</t>
    </rPh>
    <rPh sb="125" eb="127">
      <t>ヘンキャク</t>
    </rPh>
    <rPh sb="140" eb="142">
      <t>トウガイ</t>
    </rPh>
    <rPh sb="142" eb="144">
      <t>ブブン</t>
    </rPh>
    <rPh sb="145" eb="147">
      <t>シュウセイ</t>
    </rPh>
    <rPh sb="156" eb="158">
      <t>デンシ</t>
    </rPh>
    <rPh sb="161" eb="165">
      <t>ジョウホウキョウユウ</t>
    </rPh>
    <rPh sb="169" eb="171">
      <t>キバン</t>
    </rPh>
    <rPh sb="172" eb="173">
      <t>ト</t>
    </rPh>
    <rPh sb="174" eb="175">
      <t>コ</t>
    </rPh>
    <rPh sb="177" eb="178">
      <t>タダ</t>
    </rPh>
    <rPh sb="184" eb="186">
      <t>ショリ</t>
    </rPh>
    <rPh sb="186" eb="188">
      <t>ケッカ</t>
    </rPh>
    <rPh sb="189" eb="191">
      <t>イリョウ</t>
    </rPh>
    <rPh sb="191" eb="193">
      <t>キカン</t>
    </rPh>
    <rPh sb="193" eb="194">
      <t>トウ</t>
    </rPh>
    <rPh sb="195" eb="197">
      <t>ヘンキャク</t>
    </rPh>
    <phoneticPr fontId="2"/>
  </si>
  <si>
    <t>・大江先生：完了</t>
    <rPh sb="1" eb="5">
      <t>オオエセンセイ</t>
    </rPh>
    <rPh sb="6" eb="8">
      <t>カンリョウ</t>
    </rPh>
    <phoneticPr fontId="2"/>
  </si>
  <si>
    <t>医療機関等が健診文書を登録した際、compositionの健診結果セクションコード（FixedValue）に関して正しいチェック結果が返却される。
　■Name : ”JP_Composition_eCheckupGeneral”
　　〇（例）Code : Display
　　〇01071：保険者以外が行う特定健診等に相当する健診検査結果セクション
　　〇01072：保険者以外が行う特定健診等に相当する健診問診結果セクション
　　〇01081：保険者が実施する特定健診等以外の健診検査結果セクション
　　〇01082：保険者が実施する特定健診等以外の健診問診結果セクション</t>
    <rPh sb="0" eb="2">
      <t>イリョウ</t>
    </rPh>
    <rPh sb="2" eb="4">
      <t>キカン</t>
    </rPh>
    <rPh sb="4" eb="5">
      <t>トウ</t>
    </rPh>
    <rPh sb="6" eb="8">
      <t>ケンシン</t>
    </rPh>
    <rPh sb="8" eb="10">
      <t>ブンショ</t>
    </rPh>
    <rPh sb="11" eb="13">
      <t>トウロク</t>
    </rPh>
    <rPh sb="15" eb="16">
      <t>サイ</t>
    </rPh>
    <rPh sb="54" eb="55">
      <t>カン</t>
    </rPh>
    <rPh sb="57" eb="58">
      <t>タダ</t>
    </rPh>
    <rPh sb="64" eb="66">
      <t>ケッカ</t>
    </rPh>
    <rPh sb="67" eb="69">
      <t>ヘンキャク</t>
    </rPh>
    <phoneticPr fontId="2"/>
  </si>
  <si>
    <t>compositionの健診結果セクションコード（FixedValue）が正しく入力された場合でも、要求元にチェック処理結果「ワーニング」が返却される。</t>
    <rPh sb="12" eb="14">
      <t>ケンシン</t>
    </rPh>
    <rPh sb="14" eb="16">
      <t>ケッカ</t>
    </rPh>
    <rPh sb="40" eb="42">
      <t>ニュウリョク</t>
    </rPh>
    <rPh sb="45" eb="47">
      <t>バアイ</t>
    </rPh>
    <phoneticPr fontId="2"/>
  </si>
  <si>
    <t>バリデーションチェック機能（ベースチェック）
プロファイル管理機能</t>
    <rPh sb="11" eb="13">
      <t>キノウ</t>
    </rPh>
    <rPh sb="29" eb="31">
      <t>カンリ</t>
    </rPh>
    <rPh sb="31" eb="33">
      <t>キノウ</t>
    </rPh>
    <phoneticPr fontId="2"/>
  </si>
  <si>
    <t>compositionの健診結果セクションコード（下記）が修正されたプロファイル1.6.0（健診）を基盤に取り込む。
　■Name : ”JP_Composition_eCheckupGeneral”
　　〇（例）Code : Display
　　〇01071：保険者以外が行う特定健診等に相当する健診検査結果セクション
　　〇01072：保険者以外が行う特定健診等に相当する健診問診結果セクション
　　〇01081：保険者が実施する特定健診等以外の健診検査結果セクション
　　〇01082：保険者が実施する特定健診等以外の健診問診結果セクション</t>
    <rPh sb="12" eb="14">
      <t>ケンシン</t>
    </rPh>
    <rPh sb="14" eb="16">
      <t>ケッカ</t>
    </rPh>
    <rPh sb="25" eb="27">
      <t>カキ</t>
    </rPh>
    <rPh sb="29" eb="31">
      <t>シュウセイ</t>
    </rPh>
    <rPh sb="105" eb="106">
      <t>レイ</t>
    </rPh>
    <phoneticPr fontId="2"/>
  </si>
  <si>
    <t>健診結果報告書の医療扶助対応</t>
    <phoneticPr fontId="2"/>
  </si>
  <si>
    <t>健診結果報告書の医療扶助対応(福祉事務所への健診結果報告書の連携)　</t>
    <phoneticPr fontId="2"/>
  </si>
  <si>
    <t>被保護者に対して行う健康診査(以下、被保護者健診という。)を電子カルテ情報共有サービスを通して福祉事務所へ連携できるようになる</t>
    <phoneticPr fontId="2"/>
  </si>
  <si>
    <t>■要求事項
機能①：アドオンチェック機能
内容：(被保護者健診を登録できないようなチェックがかかっている場合）、医療機関が被保護者健診を登録できるようにアドオンチェックを改修する。
_x000B_機能②：健診閲覧機能
内容：被保護者健診結果を医療機関等にて閲覧できる。
機能②：収集システム連携機能
被保護者健診結果を収集システムに格納し、生活保護システム/レセプト管理システムに連携し、福祉事務所にて閲覧できるようにする。
■備考
・社会援護局と調整し、3月リリース案件とするかは検討。
・セクションコードを新しく作ることになるため医療機関の改修が発生する。（健診項目の追加はない)</t>
    <rPh sb="1" eb="5">
      <t>ヨウキュウジコウ</t>
    </rPh>
    <phoneticPr fontId="2"/>
  </si>
  <si>
    <t>被保護者に対して行う健康診査(以下、被保護者健診という。)を電子カルテ情報共有サービスを通して福祉事務所へ連携できない</t>
    <phoneticPr fontId="2"/>
  </si>
  <si>
    <t>(被保護者健診を登録できないようなチェックがかかっている場合）、医療機関が被保護者健診を登録できるようにアドオンチェックを改修する。
■備考
・社会援護局と調整し、3月リリース案件とするかは検討。
・セクションコードを新しく作ることになるため医療機関の改修が発生する。（健診項目の追加はない)</t>
    <phoneticPr fontId="2"/>
  </si>
  <si>
    <t>015_02</t>
    <phoneticPr fontId="2"/>
  </si>
  <si>
    <t>健診閲覧機能</t>
    <phoneticPr fontId="2"/>
  </si>
  <si>
    <t>被保護者健診結果を医療機関等にて閲覧できる。
■備考
・社会援護局と調整し、3月リリース案件とするかは検討。
・セクションコードを新しく作ることになるため医療機関の改修が発生する。（健診項目の追加はない)</t>
    <phoneticPr fontId="2"/>
  </si>
  <si>
    <t>015_03</t>
    <phoneticPr fontId="2"/>
  </si>
  <si>
    <t>収集システム連携機能</t>
    <phoneticPr fontId="2"/>
  </si>
  <si>
    <t>被保護者健診結果を収集システムに格納し、生活保護システム/レセプト管理システムに連携し、福祉事務所にて閲覧できるようにする。
■備考
・社会援護局と調整し、3月リリース案件とするかは検討。
・セクションコードを新しく作ることになるため医療機関の改修が発生する。（健診項目の追加はない)</t>
    <phoneticPr fontId="2"/>
  </si>
  <si>
    <t>016</t>
  </si>
  <si>
    <t>016_01</t>
  </si>
  <si>
    <t>一部検査項目の基準値必須化</t>
    <phoneticPr fontId="2"/>
  </si>
  <si>
    <t>一部の検査項目(基準値揺れが大きいもの)に対して、基準値の入力を必須とするためのアドオンチェック機能を追加実装する</t>
    <phoneticPr fontId="2"/>
  </si>
  <si>
    <t>■起票背景
現行、検査の基準値については、技術解説書で「当該情報を保持している場合には、必ず記述してください。」と記載しているものの、FHIR記述仕様における多重度は任意のため、基準値を記述しなくてもデータ登録ができる仕様となっている。その場合は、臨床情報閲覧一覧には基準値が空白のまま表示されることとなる。
一方、臨床検査医学会からは、検査項目の一部については試薬によって基準値が大きく異なるものがあると言われており、基準値の重要性について指摘があった。
以下技術解説書の記載
===
検査結果を数量で記述する場合、検査値の基準値範囲はObservationリソースのreferenceRange(基準値範囲)に登録いただく必要があります。基準値範囲は、試薬・検査機器、測定方法、性差や学会のガイドライン等の違いによって値が異なる(例えば、HbA1cの場合、HPLC法、酵素法、免疫凝集比濁法などの違いで、値に差異が出る)場合があり、医師が経時比較等をする上での重要な情報となります。そのため、医療機関等システム/電子カルテシステム等で、当該情報を保持している場合には、必ず記述してください。
■目的
検査結果の値を閲覧者である医療者や本人が正しく理解できるようにする。</t>
    <phoneticPr fontId="2"/>
  </si>
  <si>
    <t>試薬によって基準値が大きく異なる検査項目の結果の場合でも、閲覧する医療機関・本人が正しく理解することができる</t>
    <rPh sb="24" eb="26">
      <t>バアイ</t>
    </rPh>
    <phoneticPr fontId="2"/>
  </si>
  <si>
    <t>大江先生：済（プロファイルの制約で対応できる）</t>
    <phoneticPr fontId="2"/>
  </si>
  <si>
    <t xml:space="preserve">取り下げ理由：
大江先生にてプロファイル修正いただくことになったため
（厚労省スレッド）
</t>
    <rPh sb="0" eb="1">
      <t>ト</t>
    </rPh>
    <rPh sb="2" eb="3">
      <t>サ</t>
    </rPh>
    <rPh sb="4" eb="6">
      <t>リユウ</t>
    </rPh>
    <rPh sb="8" eb="10">
      <t>オオエ</t>
    </rPh>
    <rPh sb="10" eb="12">
      <t>センセイ</t>
    </rPh>
    <rPh sb="20" eb="22">
      <t>シュウセイ</t>
    </rPh>
    <rPh sb="36" eb="39">
      <t>コウロウショウ</t>
    </rPh>
    <phoneticPr fontId="2"/>
  </si>
  <si>
    <t>臨床情報の登録</t>
    <rPh sb="0" eb="2">
      <t>リンショウ</t>
    </rPh>
    <rPh sb="2" eb="4">
      <t>ジョウホウ</t>
    </rPh>
    <rPh sb="5" eb="7">
      <t>トウロク</t>
    </rPh>
    <phoneticPr fontId="2"/>
  </si>
  <si>
    <t>■要求事項１
・機能：アドオンチェック機能
・内容：感染症・検査情報について、検査結果(Observation.value)が入っている場合には基準値が必ず記述されているかどうかをチェックする。なお、血液型(ABO、Rh)については基準値が存在しないため、これらの検査結果については、基準値が空白でもデータ登録できるようにする。
■要求事項２
・機能：臨床情報一覧出力機能
・内容：基準値範囲は、試薬・検査機器、測定方法、性差や学会のガイドライン等の違いによって値が異なるため、同じ検査項目に関わらず基準値が異なる可能性があることをPDF帳票上に追記する。
■要求事項３
・機能：患者サマリーPDF帳票出力機能
・内容：基準値範囲は、試薬・検査機器、測定方法、性差や学会のガイドライン等の違いによって値が異なるため、同じ検査項目に関わらず基準値が異なる可能性があることをPDF帳票上に追記する。
■備考
大江先生との調整によっては、プロファイルで対応する可能性があるため、12月案件としない可能性もある。
臨床情報だけでなく文書情報も上記チェックの対象に含めるかは要検討
文書情報を対象とする場合、指定43項目・５項目以外の検査項目についてもチェック対象とするかも要検討</t>
    <phoneticPr fontId="2"/>
  </si>
  <si>
    <t>■課題
試薬によって基準値が大きく異なる検査項目の結果を、閲覧する医療機関・本人が正しく理解することができず、誤った認識で理解してしまう可能性がある。</t>
    <phoneticPr fontId="2"/>
  </si>
  <si>
    <t>感染症・検査情報について、検査結果(Observation.value)が入っている場合には基準値が必ず記述されているかどうかをチェックする。なお、血液型(ABO、Rh)については基準値が存在しないため、これらの検査結果については、基準値が空白でもデータ登録できるようにする。
■備考
大江先生との調整によっては、プロファイルで対応する可能性があるため、12月案件としない可能性もある。
臨床情報だけでなく文書情報も上記チェックの対象に含めるかは要検討
文書情報を対象とする場合、指定43項目・５項目以外の検査項目についてもチェック対象とするかも要検討</t>
    <phoneticPr fontId="2"/>
  </si>
  <si>
    <t>△</t>
    <phoneticPr fontId="2"/>
  </si>
  <si>
    <t>016_02</t>
    <phoneticPr fontId="2"/>
  </si>
  <si>
    <t>臨床情報(感染症・検査)</t>
  </si>
  <si>
    <t>■起票背景
現行、検査の基準値については、技術解説書で「当該情報を保持している場合には、必ず記述してください。」と記載しているものの、FHIR記述仕様における多重度は任意のため、基準値を記述しなくてもデータ登録ができる仕様となっている。その場合は、臨床情報閲覧一覧には基準値が空白のまま表示されることとなる。
一方、臨床検査医学会からは、検査項目の一部については試薬によって基準値が大きく異なるものがあると言われており、基準値の重要性について指摘があった。
以下技術解説書の記載
===
検査結果を数量で記述する場合、検査値の基準値範囲はObservationリソースのreferenceRange(基準値範囲)に登録いただく必要があります。基準値範囲は、試薬・検査機器、測定方法、性差や学会のガイドライン等の違いによって値が異なる(例えば、HbA1cの場合、HPLC法、酵素法、免疫凝集比濁法などの違いで、値に差異が出る)場合があり、医師が経時比較等をする上での重要な情報となります。そのため、医療機関等システム/電子カルテシステム等で、当該情報を保持している場合には、必ず記述してください。
■目的
検査結果の値を閲覧者である医療者や本人が正しく理解できるようにする。</t>
  </si>
  <si>
    <t>大江先生：済（プロファイルの制約で対応できる）</t>
    <rPh sb="0" eb="2">
      <t>オオエ</t>
    </rPh>
    <rPh sb="2" eb="4">
      <t>センセイ</t>
    </rPh>
    <rPh sb="5" eb="6">
      <t>スミ</t>
    </rPh>
    <rPh sb="14" eb="16">
      <t>セイヤク</t>
    </rPh>
    <rPh sb="17" eb="19">
      <t>タイオウ</t>
    </rPh>
    <phoneticPr fontId="2"/>
  </si>
  <si>
    <t>臨床情報一覧出力機能</t>
    <phoneticPr fontId="2"/>
  </si>
  <si>
    <t>基準値範囲は、試薬・検査機器、測定方法、性差や学会のガイドライン等の違いによって値が異なるため、同じ検査項目に関わらず基準値が異なる可能性があることを+Z25+Z25:AE25+Z25+Z25:AE25+Z25+Z25:AE25+W25:AE25+Z25+Z25:AE25+Z25+Z25:AE25+Z25+Z25:AE25+Z25+Z25:AE25+Y25:AE25+Z25:AE25+AB25:AE25+Z25+Z25:AE25+Z25+Z25:AE25+Z25+Z25:AE25+Z25+Z25:A+Y25:AE25</t>
    <phoneticPr fontId="2"/>
  </si>
  <si>
    <t>臨床情報一覧のPDF帳票</t>
    <rPh sb="0" eb="4">
      <t>リンショウジョウホウ</t>
    </rPh>
    <rPh sb="4" eb="6">
      <t>イチラン</t>
    </rPh>
    <rPh sb="10" eb="12">
      <t>チョウヒョウ</t>
    </rPh>
    <phoneticPr fontId="2"/>
  </si>
  <si>
    <t>016_03</t>
    <phoneticPr fontId="2"/>
  </si>
  <si>
    <t>一部検査項目の基準値必須化</t>
  </si>
  <si>
    <t>一部の検査項目(基準値揺れが大きいもの)に対して、基準値の入力を必須とするためのアドオンチェック機能を追加実装する</t>
  </si>
  <si>
    <t>患者サマリーPDF帳票出力機能</t>
    <rPh sb="0" eb="2">
      <t>カンジャ</t>
    </rPh>
    <rPh sb="9" eb="11">
      <t>チョウヒョウ</t>
    </rPh>
    <rPh sb="11" eb="13">
      <t>シュツリョク</t>
    </rPh>
    <rPh sb="13" eb="15">
      <t>キノウ</t>
    </rPh>
    <phoneticPr fontId="2"/>
  </si>
  <si>
    <t>基準値範囲は、試薬・検査機器、測定方法、性差や学会のガイドライン等の違いによって値が異なるため、同じ検査項目に関わらず基準値が異なる可能性があることをPDF帳票上に追記する。
■備考
大江先生との調整によっては、プロファイルで対応する可能性があるため、12月案件としない可能性もある。
臨床情報だけでなく文書情報も上記チェックの対象に含めるかは要検討
文書情報を対象とする場合、指定43項目・５項目以外の検査項目についてもチェック対象とするかも要検討</t>
    <phoneticPr fontId="2"/>
  </si>
  <si>
    <t>患者サマリーのPDF帳票</t>
    <rPh sb="0" eb="2">
      <t>カンジャ</t>
    </rPh>
    <rPh sb="10" eb="12">
      <t>チョウヒョウ</t>
    </rPh>
    <phoneticPr fontId="2"/>
  </si>
  <si>
    <t>017</t>
  </si>
  <si>
    <t>017_01</t>
  </si>
  <si>
    <t>一部検査項目の検査単位の複数記載の許容</t>
    <phoneticPr fontId="2"/>
  </si>
  <si>
    <t>1つの検査項目に対して、複数種類の単位が入力できるように改修する。</t>
    <phoneticPr fontId="2"/>
  </si>
  <si>
    <t>■起票背景
電子カルテ情報共有サービスでは、検査結果の時系列表示ができるように、また、臨床知識のない国民にもわかりやすく示すために、１つのFHIR項目名称/FHIR識別文字列に対する検査結果の単位は一意に規定している。
(そのために、医療機関等システム側には、電子カルテ情報共有サービスにて規定した単位に変換して登録してもらうようにシステム開発をしてもらっている。)
一方で、感染症項目の陽性コントロール比については、「COI」を単位として固定しているものの、その他の単位として「Index」も存在している。COIとIndexは試薬によってどちらになるかが規定されているが、それぞれが概念の異なる単位のため、単位の互換性がない。
■目的
陽性コントロール比について、単位が「COI」でも、「Index」でも電子カルテ情報共有サービスへ登録できるようにする。</t>
    <phoneticPr fontId="2"/>
  </si>
  <si>
    <t>陽性コントロール比について、単位が「COI」でも、「Index」でも電子カルテ情報共有サービスへ登録できるようになる。</t>
    <phoneticPr fontId="2"/>
  </si>
  <si>
    <t>JLACセンター・臨床検査医学会：複数記載を許容するべき検査について確認中</t>
    <rPh sb="9" eb="16">
      <t>リンショウケンサイガッカイ</t>
    </rPh>
    <rPh sb="17" eb="19">
      <t>フクスウ</t>
    </rPh>
    <rPh sb="19" eb="21">
      <t>キサイ</t>
    </rPh>
    <rPh sb="22" eb="24">
      <t>キョヨウ</t>
    </rPh>
    <rPh sb="28" eb="30">
      <t>ケンサ</t>
    </rPh>
    <rPh sb="34" eb="36">
      <t>カクニン</t>
    </rPh>
    <rPh sb="36" eb="37">
      <t>チュウ</t>
    </rPh>
    <phoneticPr fontId="2"/>
  </si>
  <si>
    <t>■要求事項１
・機能：アドオンチェック機能
・内容：陽性コントロール比については、単位が「COI」でも「Index」でもデータ登録できるようにアドオンチェックの仕様を修正する。
■備考
・基金のマスタ取り込みの期限を踏まえて、臨床検査医学会にカラムを追加した形で提出いただくように調整しなければいけない。</t>
    <phoneticPr fontId="2"/>
  </si>
  <si>
    <t>陽性コントロール比については、Indexが単位となる検査結果を電子カルテ情報共有サービスに登録することができない。</t>
    <phoneticPr fontId="2"/>
  </si>
  <si>
    <t>なし（要確認）</t>
    <rPh sb="3" eb="6">
      <t>ヨウカクニン</t>
    </rPh>
    <phoneticPr fontId="2"/>
  </si>
  <si>
    <t>017_02</t>
  </si>
  <si>
    <t>一部検査項目の検査単位の複数記載の許容</t>
  </si>
  <si>
    <t>■起票背景
電子カルテ情報共有サービスでは、検査結果の時系列表示ができるように、また、臨床知識のない国民にもわかりやすく示すために、１つのFHIR項目名称/FHIR識別文字列に対する検査結果の単位は一意に規定している。
(そのために、医療機関等システム側には、電子カルテ情報共有サービスにて規定した単位に変換して登録してもらうようにシステム開発をしてもらっている。)
一方で、感染症項目の陽性コントロール比については、「COI」を単位として固定しているものの、その他の単位として「Index」も存在している。COIとIndexは試薬によってどちらになるかが規定されているが、それぞれが概念の異なる単位のため、単位の互換性がない。
■目的
陽性コントロール比について、単位が「COI」でも、「Index」でも電子カルテ情報共有サービスへ登録できるようにする。</t>
  </si>
  <si>
    <t>JLACセンター・臨床検査医学会：複数記載を許容するべき検査について確認中</t>
    <phoneticPr fontId="2"/>
  </si>
  <si>
    <t>■要求事項２
・機能：標準マスタ管理・提供機能
・内容：電子カルテ情報共有サービス対応JLACコード表に、単位を規定するカラムを２カラム(表示用単位2、XML用単位2)追加する。
■備考
・基金のマスタ取り込みの期限を踏まえて、臨床検査医学会にカラムを追加した形で提出いただくように調整しなければいけない。</t>
    <phoneticPr fontId="2"/>
  </si>
  <si>
    <t>標準マスタ管理・提供機能</t>
    <phoneticPr fontId="2"/>
  </si>
  <si>
    <t>018</t>
    <phoneticPr fontId="2"/>
  </si>
  <si>
    <t>018_01</t>
  </si>
  <si>
    <t>FHIR識別文字列（identifier）を修正した最新版のプロファイルを基盤に取り込む。</t>
    <rPh sb="4" eb="6">
      <t>シキベツ</t>
    </rPh>
    <rPh sb="6" eb="9">
      <t>モジレツ</t>
    </rPh>
    <rPh sb="22" eb="24">
      <t>シュウセイ</t>
    </rPh>
    <rPh sb="26" eb="28">
      <t>サイシン</t>
    </rPh>
    <rPh sb="28" eb="29">
      <t>バン</t>
    </rPh>
    <rPh sb="37" eb="39">
      <t>キバン</t>
    </rPh>
    <rPh sb="40" eb="41">
      <t>ト</t>
    </rPh>
    <rPh sb="42" eb="43">
      <t>コ</t>
    </rPh>
    <phoneticPr fontId="2"/>
  </si>
  <si>
    <t>「FHIR識別文字列」を一部変更したため、最新のプロファイルを電子カルテ情報共有サービス基盤に取り込み、バリデーションチェックのインプット情報の最新化を目的とする。</t>
    <rPh sb="5" eb="7">
      <t>シキベツ</t>
    </rPh>
    <rPh sb="7" eb="10">
      <t>モジレツ</t>
    </rPh>
    <rPh sb="12" eb="14">
      <t>イチブ</t>
    </rPh>
    <rPh sb="14" eb="16">
      <t>ヘンコウ</t>
    </rPh>
    <rPh sb="21" eb="23">
      <t>サイシン</t>
    </rPh>
    <rPh sb="31" eb="33">
      <t>デンシ</t>
    </rPh>
    <rPh sb="36" eb="40">
      <t>ジョウホウキョウユウ</t>
    </rPh>
    <rPh sb="44" eb="46">
      <t>キバン</t>
    </rPh>
    <rPh sb="47" eb="48">
      <t>ト</t>
    </rPh>
    <rPh sb="49" eb="50">
      <t>コ</t>
    </rPh>
    <rPh sb="69" eb="71">
      <t>ジョウホウ</t>
    </rPh>
    <rPh sb="72" eb="74">
      <t>サイシン</t>
    </rPh>
    <rPh sb="74" eb="75">
      <t>カ</t>
    </rPh>
    <rPh sb="76" eb="78">
      <t>モクテキ</t>
    </rPh>
    <phoneticPr fontId="2"/>
  </si>
  <si>
    <t>医療機関等が健診文書を登録した際、最新版のチェックが実行される。</t>
    <rPh sb="0" eb="2">
      <t>イリョウ</t>
    </rPh>
    <rPh sb="2" eb="4">
      <t>キカン</t>
    </rPh>
    <rPh sb="4" eb="5">
      <t>トウ</t>
    </rPh>
    <rPh sb="6" eb="8">
      <t>ケンシン</t>
    </rPh>
    <rPh sb="8" eb="10">
      <t>ブンショ</t>
    </rPh>
    <rPh sb="17" eb="20">
      <t>サイシンバン</t>
    </rPh>
    <rPh sb="26" eb="28">
      <t>ジッコウ</t>
    </rPh>
    <phoneticPr fontId="2"/>
  </si>
  <si>
    <t>バリデーションチェックのインプット情報である実装ガイドのプロファイルにおいて、一部検査項目のFHIR識別文字列に不備がある。</t>
    <rPh sb="17" eb="19">
      <t>ジョウホウ</t>
    </rPh>
    <rPh sb="22" eb="24">
      <t>ジッソウ</t>
    </rPh>
    <rPh sb="39" eb="41">
      <t>イチブ</t>
    </rPh>
    <rPh sb="41" eb="43">
      <t>ケンサ</t>
    </rPh>
    <rPh sb="43" eb="45">
      <t>コウモク</t>
    </rPh>
    <rPh sb="50" eb="52">
      <t>シキベツ</t>
    </rPh>
    <rPh sb="52" eb="55">
      <t>モジレツ</t>
    </rPh>
    <rPh sb="56" eb="58">
      <t>フビ</t>
    </rPh>
    <phoneticPr fontId="2"/>
  </si>
  <si>
    <t>FHIR識別文字列（identifier）の不備が修正されたCLINSプロファイル1.11.0（2文書/臨床/患者サマリー）を基盤に取り込む。</t>
    <rPh sb="4" eb="6">
      <t>シキベツ</t>
    </rPh>
    <rPh sb="6" eb="9">
      <t>モジレツ</t>
    </rPh>
    <rPh sb="22" eb="24">
      <t>フビ</t>
    </rPh>
    <rPh sb="25" eb="27">
      <t>シュウセイ</t>
    </rPh>
    <rPh sb="63" eb="65">
      <t>キバン</t>
    </rPh>
    <rPh sb="66" eb="67">
      <t>ト</t>
    </rPh>
    <rPh sb="68" eb="69">
      <t>コ</t>
    </rPh>
    <phoneticPr fontId="2"/>
  </si>
  <si>
    <t>019</t>
    <phoneticPr fontId="2"/>
  </si>
  <si>
    <t>医薬品のダミーコード(未標準化コード)の利用</t>
    <phoneticPr fontId="2"/>
  </si>
  <si>
    <t>■起票背景
YJコードは、保険収載医薬品しか収載していないため、それ以外の医薬品(治験段階の未承認薬、ワクチン、経口避妊薬等)をコードで記述することができない状況となっている。
現行、電子カルテ情報共有サービスで使用するMedicationRequestリソースにはYJコードを記述することを必須としており、それ以外の登録を受け付けていない。また、電子カルテ情報共有サービスでは、一般名処方マスタの使用も認めていない。そのため、これらの非保険医薬品や一般名処方を記述する場合には、Compositionリソースに叙述記載する運用となっている。
■目的
YJコードで記述することのできない医薬品・処方情報についても、臨床情報一覧に出力できるようにする。</t>
    <phoneticPr fontId="2"/>
  </si>
  <si>
    <t>医薬局・作業班：済</t>
    <rPh sb="0" eb="3">
      <t>イヤクキョク</t>
    </rPh>
    <rPh sb="4" eb="7">
      <t>サギョウハン</t>
    </rPh>
    <rPh sb="8" eb="9">
      <t>スミ</t>
    </rPh>
    <phoneticPr fontId="2"/>
  </si>
  <si>
    <t>取り下げ理由：6/6技術作業班にて、文書情報からの処方情報の抽出については当面の間停止する方針が決まったため（6/11 12月リリース案件整理打ち合わせにて厚労省・基金間で取り下げ確認）</t>
    <phoneticPr fontId="2"/>
  </si>
  <si>
    <t>■要求事項
・機能：アドオンチェック機能
・内容：MedicationRequest.medication[x].coding:nocoded（医薬品未標準化コード）でも記述可能とするようにチェック仕様を修正する。
■備考
・電子処方箋でダミーコードの利用を取りやめる方向であることを踏まえ、また、紐づけ誤りのリスクも踏まえて、作業班第１回（６月１～２週実施予定）で付議予定である。作業班での検討結果によっては案件として落ちる可能性がある。</t>
    <phoneticPr fontId="2"/>
  </si>
  <si>
    <t>Compositionリソースに叙述記載した処方情報は、臨床情報閲覧一覧に出力される処方情報には含まれないため、診療情報提供書や退院時サマリーから臨床情報一覧として抽出される処方情報に抜け漏れが出てしまう。</t>
    <phoneticPr fontId="2"/>
  </si>
  <si>
    <t>取り下げ確認</t>
    <rPh sb="0" eb="1">
      <t>ト</t>
    </rPh>
    <rPh sb="2" eb="3">
      <t>サ</t>
    </rPh>
    <rPh sb="4" eb="6">
      <t>カクニン</t>
    </rPh>
    <phoneticPr fontId="2"/>
  </si>
  <si>
    <r>
      <t xml:space="preserve">技術作業班の結果を受けて「取り下げ」でよいか確認したい
</t>
    </r>
    <r>
      <rPr>
        <sz val="10"/>
        <color rgb="FFFF0000"/>
        <rFont val="Meiryo UI"/>
        <family val="3"/>
        <charset val="128"/>
      </rPr>
      <t>→認識相違なし、厚労省側で取り下げに更新する　★ToDo(厚労)</t>
    </r>
    <rPh sb="0" eb="5">
      <t>ギジュツサギョウハン</t>
    </rPh>
    <rPh sb="6" eb="8">
      <t>ケッカ</t>
    </rPh>
    <rPh sb="9" eb="10">
      <t>ウ</t>
    </rPh>
    <rPh sb="13" eb="14">
      <t>ト</t>
    </rPh>
    <rPh sb="15" eb="16">
      <t>サ</t>
    </rPh>
    <rPh sb="22" eb="24">
      <t>カクニン</t>
    </rPh>
    <rPh sb="29" eb="31">
      <t>ニンシキ</t>
    </rPh>
    <rPh sb="31" eb="33">
      <t>ソウイ</t>
    </rPh>
    <rPh sb="36" eb="39">
      <t>コウロウショウ</t>
    </rPh>
    <rPh sb="39" eb="40">
      <t>ガワ</t>
    </rPh>
    <rPh sb="41" eb="42">
      <t>ト</t>
    </rPh>
    <rPh sb="43" eb="44">
      <t>サ</t>
    </rPh>
    <rPh sb="46" eb="48">
      <t>コウシン</t>
    </rPh>
    <rPh sb="57" eb="59">
      <t>コウロウ</t>
    </rPh>
    <phoneticPr fontId="2"/>
  </si>
  <si>
    <t>医薬局・作業班：済</t>
    <rPh sb="0" eb="2">
      <t>イヤク</t>
    </rPh>
    <rPh sb="2" eb="3">
      <t>キョク</t>
    </rPh>
    <rPh sb="4" eb="7">
      <t>サギョウハン</t>
    </rPh>
    <rPh sb="8" eb="9">
      <t>スミ</t>
    </rPh>
    <phoneticPr fontId="2"/>
  </si>
  <si>
    <t>■要求事項
・機能：処方情報抽出機能
・内容：MedicationRequest.medication[x].coding:nocoded（医薬品未標準化コード）で記述された処方情報も抽出可能とする。
■備考
・電子処方箋でダミーコードの利用を取りやめる方向であることを踏まえ、また、紐づけ誤りのリスクも踏まえて、作業班第１回（６月１～２週実施予定）で付議予定である。作業班での検討結果によっては案件として落ちる可能性がある。</t>
    <phoneticPr fontId="2"/>
  </si>
  <si>
    <t>処方情報抽出機能</t>
    <rPh sb="0" eb="4">
      <t>ショホウジョウホウ</t>
    </rPh>
    <rPh sb="4" eb="6">
      <t>チュウシュツ</t>
    </rPh>
    <rPh sb="6" eb="8">
      <t>キノウ</t>
    </rPh>
    <phoneticPr fontId="2"/>
  </si>
  <si>
    <t>020</t>
    <phoneticPr fontId="2"/>
  </si>
  <si>
    <t>020_01</t>
  </si>
  <si>
    <t>臨床情報(処方)</t>
    <phoneticPr fontId="2"/>
  </si>
  <si>
    <t>処方情報のPDF帳票における用法マスタの拡張コードの表示</t>
  </si>
  <si>
    <t>医療機関等閲覧（臨床情報閲覧）の処方情報において、用法マスタの拡張コードが記述された場合に適切に表示する。</t>
    <rPh sb="25" eb="27">
      <t>ヨウホウ</t>
    </rPh>
    <rPh sb="37" eb="39">
      <t>キジュツ</t>
    </rPh>
    <rPh sb="42" eb="44">
      <t>バアイ</t>
    </rPh>
    <rPh sb="45" eb="47">
      <t>テキセツ</t>
    </rPh>
    <rPh sb="48" eb="50">
      <t>ヒョウジ</t>
    </rPh>
    <phoneticPr fontId="2"/>
  </si>
  <si>
    <t>現状、医療機関等閲覧（臨床情報閲覧）（PDF）の処方情報に関して、用法マスタの拡張コードが出力されていない。
例）1日○回朝昼夕食後/28日分
　　※「○回」の「○」を拡張コードで記録したが表示されない。</t>
    <rPh sb="24" eb="28">
      <t>ショホウジョウホウ</t>
    </rPh>
    <rPh sb="29" eb="30">
      <t>カン</t>
    </rPh>
    <rPh sb="45" eb="47">
      <t>シュツリョク</t>
    </rPh>
    <rPh sb="55" eb="56">
      <t>レイ</t>
    </rPh>
    <rPh sb="58" eb="59">
      <t>ニチ</t>
    </rPh>
    <rPh sb="60" eb="61">
      <t>カイ</t>
    </rPh>
    <rPh sb="61" eb="62">
      <t>アサ</t>
    </rPh>
    <rPh sb="62" eb="63">
      <t>ヒル</t>
    </rPh>
    <rPh sb="63" eb="66">
      <t>ユウショクアト</t>
    </rPh>
    <rPh sb="69" eb="71">
      <t>ニチブン</t>
    </rPh>
    <rPh sb="77" eb="78">
      <t>カイ</t>
    </rPh>
    <rPh sb="84" eb="86">
      <t>カクチョウ</t>
    </rPh>
    <rPh sb="90" eb="92">
      <t>キロク</t>
    </rPh>
    <rPh sb="95" eb="97">
      <t>ヒョウジ</t>
    </rPh>
    <phoneticPr fontId="2"/>
  </si>
  <si>
    <t>医療機関等が臨床情報を閲覧（PDF）する際、処方情報で用法マスタの拡張コードのtext値を出力する。
例）「1日○回朝昼夕食後」の場合、○（text値）を出力するようにする。</t>
    <rPh sb="0" eb="2">
      <t>イリョウ</t>
    </rPh>
    <rPh sb="2" eb="4">
      <t>キカン</t>
    </rPh>
    <rPh sb="4" eb="5">
      <t>トウ</t>
    </rPh>
    <rPh sb="6" eb="8">
      <t>リンショウ</t>
    </rPh>
    <rPh sb="8" eb="10">
      <t>ジョウホウ</t>
    </rPh>
    <rPh sb="11" eb="13">
      <t>エツラン</t>
    </rPh>
    <rPh sb="20" eb="21">
      <t>サイ</t>
    </rPh>
    <rPh sb="22" eb="24">
      <t>ショホウ</t>
    </rPh>
    <rPh sb="24" eb="26">
      <t>ジョウホウ</t>
    </rPh>
    <rPh sb="27" eb="29">
      <t>ヨウホウ</t>
    </rPh>
    <rPh sb="33" eb="35">
      <t>カクチョウ</t>
    </rPh>
    <rPh sb="43" eb="44">
      <t>アタイ</t>
    </rPh>
    <rPh sb="45" eb="47">
      <t>シュツリョク</t>
    </rPh>
    <rPh sb="51" eb="52">
      <t>タト</t>
    </rPh>
    <rPh sb="55" eb="56">
      <t>ニチ</t>
    </rPh>
    <rPh sb="57" eb="58">
      <t>カイ</t>
    </rPh>
    <rPh sb="58" eb="59">
      <t>アサ</t>
    </rPh>
    <rPh sb="59" eb="60">
      <t>ヒル</t>
    </rPh>
    <rPh sb="60" eb="62">
      <t>ユウショク</t>
    </rPh>
    <rPh sb="62" eb="63">
      <t>アト</t>
    </rPh>
    <rPh sb="65" eb="67">
      <t>バアイ</t>
    </rPh>
    <rPh sb="74" eb="75">
      <t>アタイ</t>
    </rPh>
    <rPh sb="77" eb="79">
      <t>シュツリョク</t>
    </rPh>
    <phoneticPr fontId="2"/>
  </si>
  <si>
    <t>医療機関等が臨床情報を閲覧（PDF）する際、処方情報で用法マスタの拡張コードのtext値を出力されない。</t>
    <rPh sb="0" eb="2">
      <t>イリョウ</t>
    </rPh>
    <rPh sb="2" eb="4">
      <t>キカン</t>
    </rPh>
    <rPh sb="4" eb="5">
      <t>トウ</t>
    </rPh>
    <rPh sb="6" eb="8">
      <t>リンショウ</t>
    </rPh>
    <rPh sb="8" eb="10">
      <t>ジョウホウ</t>
    </rPh>
    <rPh sb="11" eb="13">
      <t>エツラン</t>
    </rPh>
    <rPh sb="20" eb="21">
      <t>サイ</t>
    </rPh>
    <rPh sb="22" eb="24">
      <t>ショホウ</t>
    </rPh>
    <rPh sb="24" eb="26">
      <t>ジョウホウ</t>
    </rPh>
    <rPh sb="27" eb="29">
      <t>ヨウホウ</t>
    </rPh>
    <rPh sb="33" eb="35">
      <t>カクチョウ</t>
    </rPh>
    <rPh sb="43" eb="44">
      <t>チ</t>
    </rPh>
    <rPh sb="45" eb="47">
      <t>シュツリョク</t>
    </rPh>
    <phoneticPr fontId="2"/>
  </si>
  <si>
    <t>臨床情報連携機能</t>
    <rPh sb="0" eb="2">
      <t>リンショウ</t>
    </rPh>
    <rPh sb="2" eb="4">
      <t>ジョウホウ</t>
    </rPh>
    <rPh sb="4" eb="6">
      <t>レンケイ</t>
    </rPh>
    <rPh sb="6" eb="8">
      <t>キノウ</t>
    </rPh>
    <phoneticPr fontId="2"/>
  </si>
  <si>
    <t>・処方情報で用法マスタの拡張コード（用法コード区分：１）が記述された場合に、ダミーコードと同様にtext値を帳票（PDF）に出力する。
　例）「1日○回朝昼夕食後」の場合、○（text値）を出力するようにする。
・電カル共有サービスからオン資のデータ連携時に「拡張コード」であることが判別できるように「用法コード区分」を追加する。</t>
    <phoneticPr fontId="2"/>
  </si>
  <si>
    <t>処方情報の抽出条件変更</t>
    <phoneticPr fontId="2"/>
  </si>
  <si>
    <t>■起票背景
現行、臨床情報における処方情報は「診療情報提供書」・「退院時サマリ」に記録された処方情報(MedicationRequestで記述されたもの)の全量を対象に直近100日分を抽出・表示している。
これにより、紹介元医療機関が他医療機関に情報共有すべきと判断した要点の把握に役立てることを目的としている。
■目的
診療情報提供書・退院時サマリから抽出範囲は最もニーズの高いものに絞り込みを行う。</t>
    <phoneticPr fontId="2"/>
  </si>
  <si>
    <t>取り下げ理由：6/6技術作業班にて、文書情報からの処方情報の抽出については当面の間停止する方針が決まったため（6/11 12月リリース案件整理打ち合わせにて厚労省・基金間で取り下げ確認）</t>
    <rPh sb="10" eb="12">
      <t>ギジュツ</t>
    </rPh>
    <rPh sb="12" eb="15">
      <t>サギョウハン</t>
    </rPh>
    <rPh sb="18" eb="22">
      <t>ブンショジョウホウ</t>
    </rPh>
    <rPh sb="25" eb="27">
      <t>ショホウ</t>
    </rPh>
    <rPh sb="27" eb="29">
      <t>ジョウホウ</t>
    </rPh>
    <rPh sb="30" eb="32">
      <t>チュウシュツ</t>
    </rPh>
    <rPh sb="37" eb="39">
      <t>トウメン</t>
    </rPh>
    <rPh sb="40" eb="41">
      <t>アイダ</t>
    </rPh>
    <rPh sb="41" eb="43">
      <t>テイシ</t>
    </rPh>
    <rPh sb="45" eb="47">
      <t>ホウシン</t>
    </rPh>
    <rPh sb="48" eb="49">
      <t>キ</t>
    </rPh>
    <rPh sb="78" eb="81">
      <t>コウロウショウ</t>
    </rPh>
    <rPh sb="82" eb="84">
      <t>キキン</t>
    </rPh>
    <rPh sb="84" eb="85">
      <t>カン</t>
    </rPh>
    <rPh sb="86" eb="87">
      <t>ト</t>
    </rPh>
    <rPh sb="88" eb="89">
      <t>サ</t>
    </rPh>
    <rPh sb="90" eb="92">
      <t>カクニン</t>
    </rPh>
    <phoneticPr fontId="2"/>
  </si>
  <si>
    <t>■要求事項
・機能：文書情報の抽出機能
・内容：文書のComposition.category要素が「退院時(DISCHARGE)」のものに限定して、データ抽出を行う。
■備考
作業班第１回（６月１～２週実施予定）で付議予定のため、作業班での検討結果によっては案件として落ちる可能性がある。</t>
    <rPh sb="0" eb="5">
      <t>シカクヨウキュウジコウ</t>
    </rPh>
    <rPh sb="7" eb="9">
      <t>キノウ</t>
    </rPh>
    <rPh sb="10" eb="12">
      <t>ブンショ</t>
    </rPh>
    <rPh sb="12" eb="14">
      <t>ジョウホウ</t>
    </rPh>
    <rPh sb="15" eb="19">
      <t>チュウシュツキノウ</t>
    </rPh>
    <rPh sb="21" eb="23">
      <t>ナイヨウ</t>
    </rPh>
    <rPh sb="24" eb="26">
      <t>ブンショ</t>
    </rPh>
    <rPh sb="47" eb="49">
      <t>ヨウソ</t>
    </rPh>
    <rPh sb="51" eb="54">
      <t>タイインジ</t>
    </rPh>
    <rPh sb="70" eb="72">
      <t>ゲンテイ</t>
    </rPh>
    <rPh sb="78" eb="80">
      <t>チュウシュツ</t>
    </rPh>
    <rPh sb="81" eb="82">
      <t>オコナ</t>
    </rPh>
    <rPh sb="87" eb="89">
      <t>ビコウ</t>
    </rPh>
    <phoneticPr fontId="3"/>
  </si>
  <si>
    <t>診療情報提供書、退院時サマリから抽出する処方情報において最もニーズが高いのは退院時の処方情報と想定される。
一方で、外来時の処方情報については、電子処方箋の院外処方と被る他、関連課題ID19「医薬品のダミーコード(未標準化コード)の利用」における課題も発生し、医療DX全体から見た本処方情報の位置づけがあいまいになり、且つ玉石混合なデータ表示がされてしまうリスクがある。</t>
    <phoneticPr fontId="2"/>
  </si>
  <si>
    <t>文書情報の抽出機能</t>
    <phoneticPr fontId="2"/>
  </si>
  <si>
    <t>文書のComposition.category要素が「退院時(DISCHARGE)」のものに限定して、データ抽出を行う。
■備考
作業班第１回（６月１～２週実施予定）で付議予定のため、作業班での検討結果によっては案件として落ちる可能性がある。</t>
    <phoneticPr fontId="2"/>
  </si>
  <si>
    <t>臨床情報一覧のPDF帳票</t>
    <phoneticPr fontId="2"/>
  </si>
  <si>
    <t>022</t>
  </si>
  <si>
    <t>022_01</t>
  </si>
  <si>
    <t>臨床情報（全般）</t>
    <rPh sb="0" eb="4">
      <t>リンショウジョウホウ</t>
    </rPh>
    <rPh sb="5" eb="7">
      <t>ゼンパン</t>
    </rPh>
    <phoneticPr fontId="2"/>
  </si>
  <si>
    <t>臨床情報一覧の表示期間の拡張</t>
    <phoneticPr fontId="2"/>
  </si>
  <si>
    <t>臨床情報閲覧機能にて、閲覧対象期間を5年に期間を絞らずに最大120年間の情報閲覧が可能となる。</t>
    <rPh sb="0" eb="2">
      <t>リンショウ</t>
    </rPh>
    <rPh sb="2" eb="4">
      <t>ジョウホウ</t>
    </rPh>
    <rPh sb="4" eb="6">
      <t>エツラン</t>
    </rPh>
    <rPh sb="6" eb="8">
      <t>キノウ</t>
    </rPh>
    <rPh sb="11" eb="13">
      <t>エツラン</t>
    </rPh>
    <rPh sb="13" eb="15">
      <t>タイショウ</t>
    </rPh>
    <rPh sb="15" eb="17">
      <t>キカン</t>
    </rPh>
    <rPh sb="19" eb="20">
      <t>ネン</t>
    </rPh>
    <rPh sb="21" eb="23">
      <t>キカン</t>
    </rPh>
    <rPh sb="24" eb="25">
      <t>シボ</t>
    </rPh>
    <rPh sb="28" eb="30">
      <t>サイダイ</t>
    </rPh>
    <rPh sb="33" eb="35">
      <t>ネンカン</t>
    </rPh>
    <rPh sb="36" eb="38">
      <t>ジョウホウ</t>
    </rPh>
    <rPh sb="38" eb="40">
      <t>エツラン</t>
    </rPh>
    <rPh sb="41" eb="43">
      <t>カノウ</t>
    </rPh>
    <phoneticPr fontId="2"/>
  </si>
  <si>
    <t>閲覧可能な臨床情報の範囲が5年以内から拡大され、医療サービスが向上する。</t>
    <rPh sb="0" eb="4">
      <t>エツランカノウ</t>
    </rPh>
    <rPh sb="5" eb="9">
      <t>リンショウジョウホウ</t>
    </rPh>
    <rPh sb="10" eb="12">
      <t>ハンイ</t>
    </rPh>
    <rPh sb="14" eb="17">
      <t>ネンイナイ</t>
    </rPh>
    <rPh sb="19" eb="21">
      <t>カクダイ</t>
    </rPh>
    <rPh sb="24" eb="26">
      <t>イリョウ</t>
    </rPh>
    <rPh sb="31" eb="33">
      <t>コウジョウ</t>
    </rPh>
    <phoneticPr fontId="2"/>
  </si>
  <si>
    <t>医療機関等は閲覧期間を絞らずに臨床情報を閲覧できる。</t>
    <rPh sb="0" eb="4">
      <t>イリョウキカン</t>
    </rPh>
    <rPh sb="4" eb="5">
      <t>トウ</t>
    </rPh>
    <rPh sb="6" eb="8">
      <t>エツラン</t>
    </rPh>
    <rPh sb="8" eb="10">
      <t>キカン</t>
    </rPh>
    <rPh sb="11" eb="12">
      <t>シボ</t>
    </rPh>
    <rPh sb="15" eb="17">
      <t>リンショウ</t>
    </rPh>
    <rPh sb="17" eb="19">
      <t>ジョウホウ</t>
    </rPh>
    <rPh sb="20" eb="22">
      <t>エツラン</t>
    </rPh>
    <phoneticPr fontId="2"/>
  </si>
  <si>
    <t>医療機関等は過去5年分の臨床情報のみ閲覧できる。</t>
    <rPh sb="0" eb="4">
      <t>イリョウキカン</t>
    </rPh>
    <rPh sb="4" eb="5">
      <t>トウ</t>
    </rPh>
    <rPh sb="6" eb="8">
      <t>カコ</t>
    </rPh>
    <rPh sb="9" eb="11">
      <t>ネンブン</t>
    </rPh>
    <phoneticPr fontId="2"/>
  </si>
  <si>
    <t>臨床情報連携機能</t>
    <rPh sb="0" eb="4">
      <t>リンショウジョウホウ</t>
    </rPh>
    <phoneticPr fontId="2"/>
  </si>
  <si>
    <t>臨床情報取得要求（CIP-IF-001）　によって、臨床情報閲覧で検索する情報の範囲を「開始年月（StartDate）」と「終了年月（EndDate）」の5年以内へとする制限を廃止する。
・臨床情報の検索処理において「開始年月」～「終了年月」の期間上限を5年とする制限（厳密には5年以上の場合は検索範囲を5年以内に絞る処理）を廃止する。
・過去の資格情報の検索処理で5年の制限を外す（資格確認（臨床情報出力）機能へ渡す引数の開始年月を5年前固定から120年前固定に変更する）
・リクエストの開始年月と終了年月の必須チェックはそのままとする
・XML出力において、「【警告】臨床情報の取得要求の期間が5年を超えています。」（CIPO1033W）をメッセージ表示しない
・PDF出力において、「検索期間が長期間なため、開始年月から5年分としました。」をメッセージ表示しない</t>
    <phoneticPr fontId="2"/>
  </si>
  <si>
    <t>022_02</t>
  </si>
  <si>
    <t>臨床情報一覧の表示期間の拡張</t>
  </si>
  <si>
    <t>臨床情報閲覧機能にて、閲覧対象期間を5年に期間を絞らずに情報の閲覧照会できるようにする。</t>
    <rPh sb="0" eb="2">
      <t>リンショウ</t>
    </rPh>
    <rPh sb="2" eb="4">
      <t>ジョウホウ</t>
    </rPh>
    <rPh sb="4" eb="6">
      <t>エツラン</t>
    </rPh>
    <rPh sb="6" eb="8">
      <t>キノウ</t>
    </rPh>
    <rPh sb="11" eb="13">
      <t>エツラン</t>
    </rPh>
    <rPh sb="13" eb="15">
      <t>タイショウ</t>
    </rPh>
    <rPh sb="15" eb="17">
      <t>キカン</t>
    </rPh>
    <rPh sb="19" eb="20">
      <t>ネン</t>
    </rPh>
    <rPh sb="21" eb="23">
      <t>キカン</t>
    </rPh>
    <rPh sb="24" eb="25">
      <t>シボ</t>
    </rPh>
    <rPh sb="28" eb="30">
      <t>ジョウホウ</t>
    </rPh>
    <rPh sb="31" eb="33">
      <t>エツラン</t>
    </rPh>
    <rPh sb="33" eb="35">
      <t>ショウカイ</t>
    </rPh>
    <phoneticPr fontId="2"/>
  </si>
  <si>
    <t>現状、臨床情報取得要求（CIP-IF-001）　において、臨床情報閲覧で取得できる情報の範囲は「開始年月（StartDate）から終了年月（EndDate）の期間が臨床情報保管期間である5年（60カ月）以内」となっている。
モデル事業参加医療機関（藤田医科大学）より、「傷病名の抽出条件は病名開始日になっており、5年分以上の情報を取得できるようにしてほしい」というご意見を拝受した。
上記意見に加え、長期保存フラグを付けている臨床情報は、抽出条件を変えて検索する必要があるため、 5年以内という期間を絞らずに情報の閲覧照会可能な仕組みにする必要がある。</t>
    <rPh sb="186" eb="188">
      <t>ハイジュ</t>
    </rPh>
    <rPh sb="242" eb="244">
      <t>イナイ</t>
    </rPh>
    <rPh sb="261" eb="263">
      <t>カノウ</t>
    </rPh>
    <phoneticPr fontId="2"/>
  </si>
  <si>
    <t>臨床情報の登録</t>
    <rPh sb="0" eb="4">
      <t>リンショウジョウホウ</t>
    </rPh>
    <rPh sb="5" eb="7">
      <t>トウロク</t>
    </rPh>
    <phoneticPr fontId="2"/>
  </si>
  <si>
    <t>医療機関等は過去120年分の臨床情報を閲覧できる。</t>
    <rPh sb="0" eb="4">
      <t>イリョウキカン</t>
    </rPh>
    <rPh sb="4" eb="5">
      <t>トウ</t>
    </rPh>
    <rPh sb="6" eb="8">
      <t>カコ</t>
    </rPh>
    <rPh sb="11" eb="13">
      <t>ネンブン</t>
    </rPh>
    <rPh sb="14" eb="16">
      <t>リンショウ</t>
    </rPh>
    <rPh sb="16" eb="18">
      <t>ジョウホウ</t>
    </rPh>
    <rPh sb="19" eb="21">
      <t>エツラン</t>
    </rPh>
    <phoneticPr fontId="2"/>
  </si>
  <si>
    <t>同意済み患者一覧・患者情報詳細画面、災害時医療情報閲覧画面
・登録年月（自）と登録年月（至）の期間が５年を超えていた場合のエラーチェックを外す</t>
  </si>
  <si>
    <t>023</t>
  </si>
  <si>
    <t>023_01</t>
  </si>
  <si>
    <t>施設種別ごとの実装不要機能のリクエスト制御機能の実装</t>
    <phoneticPr fontId="2"/>
  </si>
  <si>
    <t>医療機関等の施設種別を確認し、それに応じて実装不要機能に係るリクエストを制御する機能を実装する。</t>
    <phoneticPr fontId="2"/>
  </si>
  <si>
    <t>■起票背景
技術解説書の「表24．施設種別ごとの機能改修範囲の考え方」に施設種別ごとに機能ごとの実装要否の考え方が示されており、薬局や歯科診療所については、一部機能を実装不要として記載している。
■目的
・電子カルテ情報共有サービスとして、許容されていない施設からのデータ登録をさせないようにする。</t>
    <phoneticPr fontId="2"/>
  </si>
  <si>
    <t>電子カルテ情報共有サービスとして、許容されていない施設からのデータ登録されることを防ぐ</t>
    <rPh sb="41" eb="42">
      <t>フセ</t>
    </rPh>
    <phoneticPr fontId="2"/>
  </si>
  <si>
    <t>3文書6情報の登録・変更・削除・閲覧</t>
    <rPh sb="1" eb="3">
      <t>ブンショ</t>
    </rPh>
    <rPh sb="4" eb="6">
      <t>ジョウホウ</t>
    </rPh>
    <rPh sb="7" eb="9">
      <t>トウロク</t>
    </rPh>
    <rPh sb="10" eb="12">
      <t>ヘンコウ</t>
    </rPh>
    <rPh sb="13" eb="15">
      <t>サクジョ</t>
    </rPh>
    <rPh sb="16" eb="18">
      <t>エツラン</t>
    </rPh>
    <phoneticPr fontId="2"/>
  </si>
  <si>
    <t>■要求事項
・対象：アドオンチェック機能
・内容：JWTの医療機関コード等から施設種別を判定し、歯科診療所と薬局については、以下のI/F要求のみを受け付けるようにし、それ以外のI/Fでの要求には、Error返却する。
　　・特定健診情報閲覧要求(TKK-IF-001)
　　・臨床情報閲覧要求(CIP-IF-001)
　　・マスタファイル取得要求(CIS-IF-301)
■備考
※令和7年度開発において、電子カルテ情報共有サービスにおいて、「職域診療所」はサービスの利用対象外とするため、全機能のI/Fの利用を受け付けない。
※訪問看護事業所の扱いについては将来的には要調整であるが、R7年度においては本サービス対象外。</t>
    <phoneticPr fontId="2"/>
  </si>
  <si>
    <r>
      <rPr>
        <sz val="10"/>
        <color rgb="FFFF0000"/>
        <rFont val="Meiryo UI"/>
        <family val="3"/>
        <charset val="128"/>
      </rPr>
      <t xml:space="preserve">薬局や歯科診療所が電子カルテ情報共有サービスの運用を開始した後に、3文書６情報のデータ登録をしてきた場合、システム的にはリクエストが通ってしまう。
</t>
    </r>
    <r>
      <rPr>
        <sz val="10"/>
        <rFont val="Meiryo UI"/>
        <family val="3"/>
        <charset val="128"/>
      </rPr>
      <t>※現状、システム制御ではなく、支払基金における「運用開始申請」の受付業務時に、モデル事業医療機関以外を受け付けないことで担保している。</t>
    </r>
    <phoneticPr fontId="2"/>
  </si>
  <si>
    <t>実行制御</t>
    <rPh sb="0" eb="2">
      <t>ジッコウ</t>
    </rPh>
    <rPh sb="2" eb="4">
      <t>セイギョ</t>
    </rPh>
    <phoneticPr fontId="2"/>
  </si>
  <si>
    <t>h</t>
    <phoneticPr fontId="2"/>
  </si>
  <si>
    <t>023_02</t>
    <phoneticPr fontId="2"/>
  </si>
  <si>
    <t>・内容：JWTの医療機関コード等から施設種別を判定し、歯科診療所と薬局については、以下のI/F要求のみを受け付けるようにし、それ以外のI/Fでの要求には、Error返却する。
　　・特定健診情報閲覧要求(TKK-IF-001)
　　・臨床情報閲覧要求(CIP-IF-001)
　　・マスタファイル取得要求(CIS-IF-301)
※令和7年度開発において、電子カルテ情報共有サービスにおいて、「職域診療所」はサービスの利用対象外とするため、全機能のI/Fの利用を受け付けない。
※訪問看護事業所の扱いについては将来的には要調整であるが、R7年度においては本サービス対象外。</t>
    <rPh sb="221" eb="224">
      <t>ゼンキノウ</t>
    </rPh>
    <rPh sb="229" eb="231">
      <t>リヨウ</t>
    </rPh>
    <rPh sb="232" eb="233">
      <t>ウ</t>
    </rPh>
    <rPh sb="234" eb="235">
      <t>ツ</t>
    </rPh>
    <rPh sb="256" eb="259">
      <t>ショウライテキ</t>
    </rPh>
    <rPh sb="271" eb="273">
      <t>ネンド</t>
    </rPh>
    <rPh sb="278" eb="279">
      <t>ホン</t>
    </rPh>
    <rPh sb="283" eb="286">
      <t>タイショウガイ</t>
    </rPh>
    <phoneticPr fontId="2"/>
  </si>
  <si>
    <t>024</t>
  </si>
  <si>
    <t>024_01</t>
  </si>
  <si>
    <t>処理結果コードの統一</t>
    <rPh sb="0" eb="4">
      <t>ショリケッカ</t>
    </rPh>
    <rPh sb="8" eb="10">
      <t>トウイツ</t>
    </rPh>
    <phoneticPr fontId="2"/>
  </si>
  <si>
    <t>処理結果コードをバリデーションチェック結果のステータスに合わせるためのオン資の改修対応</t>
    <phoneticPr fontId="2"/>
  </si>
  <si>
    <t>・2024年11月に電カル共有サービスから医療機関等に返却する処理結果コードのステータスが3種類から5種類となったことに伴い、電カル共有からオン資へ返却する処理結果コードについても同様の対応をする必要することが生じた。（対応しない場合、オン資側でエラーが発生する）
　　&lt;具体例&gt;　
　　　変更前（ステータス3種類）：CISS0001I　「リクエストが正常終了しました。」
　　　変更後（ステータス5種類）：CISS0001S　「リクエストが正常終了しました。」
・一方で、オン資(富士通)はR6年度内に対応することが困難なため、以下の暫定対応として、電カル共有サービスがオン資へ返却する処理結果コードは変更前のステータス3種類にするこという暫定対応を実施する方針となった。
※改修の必要性：1つのサービスで、システム間で処理結果コードのステータスの種類（定義）が異なることは、連携仕様の整合性が損なわれ、運用上の混乱や障害対応の遅延につながるという理由で好ましくないため、最終的には統一する方向で改修を行う。</t>
    <phoneticPr fontId="2"/>
  </si>
  <si>
    <t>電カル共有サービスとオン資間の処理結果コードが統一される。</t>
    <rPh sb="0" eb="1">
      <t>デン</t>
    </rPh>
    <rPh sb="3" eb="5">
      <t>キョウユウ</t>
    </rPh>
    <rPh sb="12" eb="13">
      <t>シ</t>
    </rPh>
    <rPh sb="13" eb="14">
      <t>アイダ</t>
    </rPh>
    <rPh sb="15" eb="17">
      <t>ショリ</t>
    </rPh>
    <rPh sb="17" eb="19">
      <t>ケッカ</t>
    </rPh>
    <rPh sb="23" eb="25">
      <t>トウイツ</t>
    </rPh>
    <phoneticPr fontId="2"/>
  </si>
  <si>
    <t xml:space="preserve">取り下げ理由：
医療機関等側に現行仕様で特段問題が生じないことを受け手、取り下げとなった。
（7/23開発課題検討会）
</t>
    <rPh sb="0" eb="1">
      <t>ト</t>
    </rPh>
    <rPh sb="2" eb="3">
      <t>サ</t>
    </rPh>
    <rPh sb="4" eb="6">
      <t>リユウ</t>
    </rPh>
    <rPh sb="8" eb="10">
      <t>イリョウ</t>
    </rPh>
    <rPh sb="10" eb="12">
      <t>キカン</t>
    </rPh>
    <rPh sb="12" eb="13">
      <t>トウ</t>
    </rPh>
    <rPh sb="13" eb="14">
      <t>ガワ</t>
    </rPh>
    <rPh sb="15" eb="17">
      <t>ゲンコウ</t>
    </rPh>
    <rPh sb="17" eb="19">
      <t>シヨウ</t>
    </rPh>
    <rPh sb="20" eb="22">
      <t>トクダン</t>
    </rPh>
    <rPh sb="22" eb="24">
      <t>モンダイ</t>
    </rPh>
    <rPh sb="25" eb="26">
      <t>ショウ</t>
    </rPh>
    <rPh sb="32" eb="33">
      <t>ウ</t>
    </rPh>
    <rPh sb="34" eb="35">
      <t>テ</t>
    </rPh>
    <rPh sb="36" eb="37">
      <t>ト</t>
    </rPh>
    <rPh sb="38" eb="39">
      <t>サ</t>
    </rPh>
    <rPh sb="51" eb="53">
      <t>カイハツ</t>
    </rPh>
    <rPh sb="53" eb="55">
      <t>カダイ</t>
    </rPh>
    <rPh sb="55" eb="57">
      <t>ケントウ</t>
    </rPh>
    <rPh sb="57" eb="58">
      <t>カイ</t>
    </rPh>
    <phoneticPr fontId="2"/>
  </si>
  <si>
    <t>オン資にて医療機関等へ返却する処理結果コード（5種類のステータス）が電カル共有サービスと同じになるように変更する。</t>
    <rPh sb="24" eb="26">
      <t>シュルイ</t>
    </rPh>
    <rPh sb="44" eb="45">
      <t>オナ</t>
    </rPh>
    <rPh sb="52" eb="54">
      <t>ヘンコウ</t>
    </rPh>
    <phoneticPr fontId="2"/>
  </si>
  <si>
    <t>オン資と電カル共有サービスの処理結果コードが統一されていない。</t>
    <rPh sb="2" eb="3">
      <t>シ</t>
    </rPh>
    <rPh sb="4" eb="5">
      <t>デン</t>
    </rPh>
    <rPh sb="7" eb="9">
      <t>キョウユウ</t>
    </rPh>
    <rPh sb="14" eb="18">
      <t>ショリケッカ</t>
    </rPh>
    <rPh sb="22" eb="24">
      <t>トウイツ</t>
    </rPh>
    <phoneticPr fontId="2"/>
  </si>
  <si>
    <t>バリデーションチェック</t>
    <phoneticPr fontId="2"/>
  </si>
  <si>
    <t>オン資にて医療機関等へ返却する処理結果コード（5種類のステータス）が電カル共有サービスと同じになるように変更する。</t>
    <rPh sb="24" eb="26">
      <t>シュルイ</t>
    </rPh>
    <rPh sb="34" eb="35">
      <t>デン</t>
    </rPh>
    <rPh sb="37" eb="39">
      <t>キョウユウ</t>
    </rPh>
    <rPh sb="44" eb="45">
      <t>オナ</t>
    </rPh>
    <rPh sb="52" eb="54">
      <t>ヘンコウ</t>
    </rPh>
    <phoneticPr fontId="2"/>
  </si>
  <si>
    <t>025</t>
    <phoneticPr fontId="2"/>
  </si>
  <si>
    <t>025_01</t>
  </si>
  <si>
    <t>患者サマリーPDF帳票のダウンロード機能追加</t>
    <phoneticPr fontId="2"/>
  </si>
  <si>
    <t>患者サマリーのPDF帳票のダウンロード機能を実装する。</t>
    <phoneticPr fontId="2"/>
  </si>
  <si>
    <t>■起票背景
現状、マイナポータルの患者サマリ閲覧機能では、PDF帳票をダウンロードすることができず、出力期間以降、それ以前の情報を閲覧することができない（臨床情報・健診情報はPDFダウンロード可能）。
===
・医療機関名、診療科名、医師氏名、外来/入院区分、指導日、傷病名(主傷病＋副傷病)、診療上のアドバイス
　→閲覧日から起算して直近約180日分
・検査情報、処方情報
　→指導日から起算して直近過去30日分
■目的
患者側で患者サマリーをダウンロードし、いつでも見返せるようにする。</t>
    <phoneticPr fontId="2"/>
  </si>
  <si>
    <t>過去の患者サマリーをPDF出力しておくことで、閲覧可能期間を過ぎた情報も閲覧可能となる。</t>
    <rPh sb="0" eb="2">
      <t>カコ</t>
    </rPh>
    <rPh sb="3" eb="5">
      <t>カンジャ</t>
    </rPh>
    <rPh sb="13" eb="15">
      <t>シュツリョク</t>
    </rPh>
    <rPh sb="23" eb="25">
      <t>エツラン</t>
    </rPh>
    <rPh sb="25" eb="27">
      <t>カノウ</t>
    </rPh>
    <rPh sb="27" eb="29">
      <t>キカン</t>
    </rPh>
    <rPh sb="30" eb="31">
      <t>ス</t>
    </rPh>
    <rPh sb="33" eb="35">
      <t>ジョウホウ</t>
    </rPh>
    <rPh sb="36" eb="38">
      <t>エツラン</t>
    </rPh>
    <rPh sb="38" eb="40">
      <t>カノウ</t>
    </rPh>
    <phoneticPr fontId="2"/>
  </si>
  <si>
    <t>・マイナポータル：調整済み</t>
    <rPh sb="9" eb="11">
      <t>チョウセイ</t>
    </rPh>
    <rPh sb="11" eb="12">
      <t>ズ</t>
    </rPh>
    <phoneticPr fontId="2"/>
  </si>
  <si>
    <t>令和8年3月(調達は令和7年12月リリース案件と併せて実施)</t>
    <rPh sb="0" eb="2">
      <t>レイワ</t>
    </rPh>
    <rPh sb="3" eb="4">
      <t>ネン</t>
    </rPh>
    <rPh sb="5" eb="6">
      <t>ガツ</t>
    </rPh>
    <rPh sb="7" eb="9">
      <t>チョウタツ</t>
    </rPh>
    <rPh sb="10" eb="12">
      <t>レイワ</t>
    </rPh>
    <rPh sb="13" eb="14">
      <t>ネン</t>
    </rPh>
    <rPh sb="16" eb="17">
      <t>ガツ</t>
    </rPh>
    <rPh sb="21" eb="23">
      <t>アンケン</t>
    </rPh>
    <rPh sb="24" eb="25">
      <t>アワ</t>
    </rPh>
    <rPh sb="27" eb="29">
      <t>ジッシ</t>
    </rPh>
    <phoneticPr fontId="2"/>
  </si>
  <si>
    <t>2025/6/11
12月リリース案件と同様に開発は進める予定。なお、テストはデジタル庁と要調整。</t>
    <rPh sb="12" eb="13">
      <t>ガツ</t>
    </rPh>
    <rPh sb="17" eb="19">
      <t>アンケン</t>
    </rPh>
    <rPh sb="20" eb="22">
      <t>ドウヨウ</t>
    </rPh>
    <rPh sb="23" eb="25">
      <t>カイハツ</t>
    </rPh>
    <rPh sb="26" eb="27">
      <t>スス</t>
    </rPh>
    <rPh sb="29" eb="31">
      <t>ヨテイ</t>
    </rPh>
    <rPh sb="43" eb="44">
      <t>チョウ</t>
    </rPh>
    <rPh sb="45" eb="46">
      <t>ヨウ</t>
    </rPh>
    <rPh sb="46" eb="48">
      <t>チョウセイ</t>
    </rPh>
    <phoneticPr fontId="2"/>
  </si>
  <si>
    <t>患者サマリーの閲覧（マイナータル）</t>
    <rPh sb="7" eb="9">
      <t>エツラン</t>
    </rPh>
    <phoneticPr fontId="2"/>
  </si>
  <si>
    <t>■要求事項
・機能：患者サマリーPDF帳票出力機能
・内容：マイナポータルで患者サマリーのダウンロードボタンを押下後、患者サマリーのPDF帳票をオンライン資格確認等システムで生成し、マイナポータルに連携する。
なお、患者サマリーの帳票は、１アドバイス=1帳票の単位で出力する。
■備考
デジタル庁からは、マイナポータル側のPDFダウンロード機能を12月リリースにのせるのは難しいとの回答を受領。</t>
    <phoneticPr fontId="2"/>
  </si>
  <si>
    <t>患者が自身に対してアドバイスしてもらった過去の情報を保存・閲覧することができない。</t>
    <phoneticPr fontId="2"/>
  </si>
  <si>
    <t>患者サマリー生成機能</t>
    <rPh sb="0" eb="2">
      <t>カンジャ</t>
    </rPh>
    <rPh sb="6" eb="8">
      <t>セイセイ</t>
    </rPh>
    <rPh sb="8" eb="10">
      <t>キノウ</t>
    </rPh>
    <phoneticPr fontId="2"/>
  </si>
  <si>
    <t>マイナポータルで患者サマリーのダウンロードボタンを押下後、患者サマリーのPDF帳票をオンライン資格確認等システムで生成し、マイナポータルに連携する。
なお、患者サマリーの帳票は、１アドバイス=1帳票の単位で出力する。
■備考
デジタル庁からは、マイナポータル側のPDFダウンロード機能を12月リリースにのせるのは難しいとの回答を受領。</t>
    <phoneticPr fontId="2"/>
  </si>
  <si>
    <t>患者サマリー（マイナポータル）</t>
    <rPh sb="0" eb="2">
      <t>カンジャ</t>
    </rPh>
    <phoneticPr fontId="65"/>
  </si>
  <si>
    <r>
      <t xml:space="preserve">リリース時期は3月になる。(調達・開発等は12月リリース案件併せて実施予定)
</t>
    </r>
    <r>
      <rPr>
        <sz val="10"/>
        <color rgb="FFFF0000"/>
        <rFont val="Meiryo UI"/>
        <family val="3"/>
        <charset val="128"/>
      </rPr>
      <t>→認識相違なし</t>
    </r>
    <rPh sb="4" eb="6">
      <t>ジキ</t>
    </rPh>
    <rPh sb="8" eb="9">
      <t>ガツ</t>
    </rPh>
    <rPh sb="14" eb="16">
      <t>チョウタツ</t>
    </rPh>
    <rPh sb="17" eb="19">
      <t>カイハツ</t>
    </rPh>
    <rPh sb="19" eb="20">
      <t>トウ</t>
    </rPh>
    <rPh sb="23" eb="24">
      <t>ガツ</t>
    </rPh>
    <rPh sb="28" eb="30">
      <t>アンケン</t>
    </rPh>
    <rPh sb="30" eb="31">
      <t>アワ</t>
    </rPh>
    <rPh sb="33" eb="35">
      <t>ジッシ</t>
    </rPh>
    <rPh sb="35" eb="37">
      <t>ヨテイ</t>
    </rPh>
    <rPh sb="40" eb="42">
      <t>ニンシキ</t>
    </rPh>
    <rPh sb="42" eb="44">
      <t>ソウイ</t>
    </rPh>
    <phoneticPr fontId="37"/>
  </si>
  <si>
    <t>026</t>
  </si>
  <si>
    <t>026_01</t>
  </si>
  <si>
    <t>受給者番号対応</t>
    <phoneticPr fontId="2"/>
  </si>
  <si>
    <t xml:space="preserve">医療扶助者の受給者番号のSystem値が登録できないことの解消対応
</t>
    <rPh sb="6" eb="11">
      <t>ジュキュウシャバンゴウ</t>
    </rPh>
    <rPh sb="18" eb="19">
      <t>アタイ</t>
    </rPh>
    <rPh sb="20" eb="22">
      <t>トウロク</t>
    </rPh>
    <rPh sb="29" eb="31">
      <t>カイショウ</t>
    </rPh>
    <rPh sb="31" eb="33">
      <t>タイオウ</t>
    </rPh>
    <phoneticPr fontId="2"/>
  </si>
  <si>
    <t>・現状、実装ガイドのプロファイルに、「生活保護受給者識別子」の定義がないため、登録する3文書6情報のPatient.identifier.system に、「生活保護受給者識別子」を示すsystem値である「http://jpfhir.jp/fhir/clins/Idsystem/JP_PublicPayer_memberID」を記録するとエラーとなる。
・そのため、実装ガイドのプロファイルに「生活保護受給者識別子」を大江先生に定義していただき、更新版のプロファイルを電子カルテ情報共有サービスに取り込む必要がある。​</t>
  </si>
  <si>
    <t>令和7年7月</t>
  </si>
  <si>
    <t>医療機関等が「生活保護受給者識別子」を用いた3文書6情報を電子カルテ情報共有サービスに登録可能とする。
※被保険者番号と受給者番号の併記は行わない​</t>
    <rPh sb="0" eb="2">
      <t>イリョウ</t>
    </rPh>
    <rPh sb="2" eb="4">
      <t>キカン</t>
    </rPh>
    <rPh sb="4" eb="5">
      <t>トウ</t>
    </rPh>
    <rPh sb="7" eb="9">
      <t>セイカツ</t>
    </rPh>
    <rPh sb="9" eb="11">
      <t>ホゴ</t>
    </rPh>
    <rPh sb="11" eb="14">
      <t>ジュキュウシャ</t>
    </rPh>
    <rPh sb="14" eb="17">
      <t>シキベツシ</t>
    </rPh>
    <rPh sb="19" eb="20">
      <t>モチ</t>
    </rPh>
    <rPh sb="23" eb="25">
      <t>ブンショ</t>
    </rPh>
    <rPh sb="26" eb="28">
      <t>ジョウホウ</t>
    </rPh>
    <rPh sb="29" eb="31">
      <t>デンシ</t>
    </rPh>
    <rPh sb="34" eb="36">
      <t>ジョウホウ</t>
    </rPh>
    <rPh sb="36" eb="38">
      <t>キョウユウ</t>
    </rPh>
    <rPh sb="43" eb="45">
      <t>トウロク</t>
    </rPh>
    <rPh sb="45" eb="47">
      <t>カノウ</t>
    </rPh>
    <phoneticPr fontId="2"/>
  </si>
  <si>
    <t>生活保護受給番号を用いた3文書6情報を電子カルテ共有サービスに登録できない。</t>
    <rPh sb="6" eb="8">
      <t>バンゴウ</t>
    </rPh>
    <rPh sb="9" eb="10">
      <t>モチ</t>
    </rPh>
    <rPh sb="13" eb="15">
      <t>ブンショ</t>
    </rPh>
    <rPh sb="16" eb="18">
      <t>ジョウホウ</t>
    </rPh>
    <rPh sb="19" eb="21">
      <t>デンシ</t>
    </rPh>
    <rPh sb="24" eb="26">
      <t>キョウユウ</t>
    </rPh>
    <rPh sb="31" eb="33">
      <t>トウロク</t>
    </rPh>
    <phoneticPr fontId="2"/>
  </si>
  <si>
    <t>バリデーションチェック機能（ベースチェック）
プロファイル管理機能</t>
    <rPh sb="29" eb="31">
      <t>カンリ</t>
    </rPh>
    <rPh sb="31" eb="33">
      <t>キノウ</t>
    </rPh>
    <phoneticPr fontId="2"/>
  </si>
  <si>
    <t>「生活保護受給者識別子」を新たに定義したプロファイル（最新版）を基盤に取り組む。​
※被保険者番号と受給者番号の併記は行わない​</t>
    <rPh sb="1" eb="3">
      <t>セイカツ</t>
    </rPh>
    <rPh sb="3" eb="5">
      <t>ホゴ</t>
    </rPh>
    <rPh sb="5" eb="8">
      <t>ジュキュウシャ</t>
    </rPh>
    <rPh sb="8" eb="11">
      <t>シキベツシ</t>
    </rPh>
    <rPh sb="13" eb="14">
      <t>アラタ</t>
    </rPh>
    <rPh sb="16" eb="18">
      <t>テイギ</t>
    </rPh>
    <rPh sb="27" eb="30">
      <t>サイシンバン</t>
    </rPh>
    <rPh sb="32" eb="34">
      <t>キバン</t>
    </rPh>
    <phoneticPr fontId="2"/>
  </si>
  <si>
    <t>026_02</t>
  </si>
  <si>
    <t>・現状、実装ガイドのプロファイルに、「生活保護受給者識別子」の定義がないため、登録する3文書6情報のPatient.identifier.system に、「生活保護受給者識別子」を示すsystem値である「http://jpfhir.jp/fhir/clins/Idsystem/JP_PublicPayer_memberID」を記録するとエラーとなる。
・そのため、実装ガイドのプロファイルに「生活保護受給者識別子」を大江先生に定義していただき、更新版のプロファイルを電子カルテ情報共有サービスに取り込む必要がある。​</t>
    <rPh sb="1" eb="3">
      <t>ゲンジョウ</t>
    </rPh>
    <rPh sb="4" eb="6">
      <t>ジッソウ</t>
    </rPh>
    <rPh sb="19" eb="21">
      <t>セイカツ</t>
    </rPh>
    <rPh sb="21" eb="23">
      <t>ホゴ</t>
    </rPh>
    <rPh sb="185" eb="187">
      <t>ジッソウ</t>
    </rPh>
    <rPh sb="199" eb="201">
      <t>セイカツ</t>
    </rPh>
    <rPh sb="201" eb="203">
      <t>ホゴ</t>
    </rPh>
    <rPh sb="203" eb="206">
      <t>ジュキュウシャ</t>
    </rPh>
    <rPh sb="206" eb="209">
      <t>シキベツシ</t>
    </rPh>
    <rPh sb="211" eb="215">
      <t>オオエセンセイ</t>
    </rPh>
    <rPh sb="216" eb="218">
      <t>テイギ</t>
    </rPh>
    <rPh sb="225" eb="228">
      <t>コウシンバン</t>
    </rPh>
    <rPh sb="236" eb="238">
      <t>デンシ</t>
    </rPh>
    <rPh sb="241" eb="245">
      <t>ジョウホウキョウユウ</t>
    </rPh>
    <rPh sb="250" eb="251">
      <t>ト</t>
    </rPh>
    <rPh sb="252" eb="253">
      <t>コ</t>
    </rPh>
    <rPh sb="254" eb="256">
      <t>ヒツヨウ</t>
    </rPh>
    <phoneticPr fontId="2"/>
  </si>
  <si>
    <t>医療機関等が「生活保護受給者識別子」を含む3文書6情報を電子カルテ情報共有サービスに登録可能とする。
※被保険者番号と受給者番号の併記は行わない​</t>
    <rPh sb="0" eb="2">
      <t>イリョウ</t>
    </rPh>
    <rPh sb="2" eb="4">
      <t>キカン</t>
    </rPh>
    <rPh sb="4" eb="5">
      <t>トウ</t>
    </rPh>
    <rPh sb="7" eb="9">
      <t>セイカツ</t>
    </rPh>
    <rPh sb="9" eb="11">
      <t>ホゴ</t>
    </rPh>
    <rPh sb="11" eb="14">
      <t>ジュキュウシャ</t>
    </rPh>
    <rPh sb="14" eb="17">
      <t>シキベツシ</t>
    </rPh>
    <rPh sb="19" eb="20">
      <t>フク</t>
    </rPh>
    <rPh sb="22" eb="24">
      <t>ブンショ</t>
    </rPh>
    <rPh sb="25" eb="27">
      <t>ジョウホウ</t>
    </rPh>
    <rPh sb="28" eb="30">
      <t>デンシ</t>
    </rPh>
    <rPh sb="33" eb="35">
      <t>ジョウホウ</t>
    </rPh>
    <rPh sb="35" eb="37">
      <t>キョウユウ</t>
    </rPh>
    <rPh sb="42" eb="44">
      <t>トウロク</t>
    </rPh>
    <rPh sb="44" eb="46">
      <t>カノウ</t>
    </rPh>
    <phoneticPr fontId="2"/>
  </si>
  <si>
    <t>「生活保護受給者識別子」を含む3文書6情報を電子カルテ共有サービスに登録できない。</t>
    <rPh sb="13" eb="14">
      <t>フク</t>
    </rPh>
    <rPh sb="16" eb="18">
      <t>ブンショ</t>
    </rPh>
    <rPh sb="19" eb="21">
      <t>ジョウホウ</t>
    </rPh>
    <rPh sb="22" eb="24">
      <t>デンシ</t>
    </rPh>
    <rPh sb="27" eb="29">
      <t>キョウユウ</t>
    </rPh>
    <rPh sb="34" eb="36">
      <t>トウロク</t>
    </rPh>
    <phoneticPr fontId="2"/>
  </si>
  <si>
    <t>資格情報連携機能</t>
  </si>
  <si>
    <t>資格情報が「受給者番号」「被保険者番号」のどちらかを判定できるよう、 オン資⇔電カル共有サービスのデータ連携時に「公費フラグ（公費か、それ以外か）」の項目を追加する。​
＜付与パターン＞
・「被保険者」＝公費フラグ無し
・「生活保護受給者」＝公費フラグ有り</t>
    <rPh sb="75" eb="77">
      <t>コウモク</t>
    </rPh>
    <rPh sb="87" eb="89">
      <t>フヨ</t>
    </rPh>
    <rPh sb="97" eb="101">
      <t>ヒホケンシャ</t>
    </rPh>
    <rPh sb="103" eb="105">
      <t>コウヒ</t>
    </rPh>
    <rPh sb="108" eb="109">
      <t>ナ</t>
    </rPh>
    <rPh sb="113" eb="115">
      <t>セイカツ</t>
    </rPh>
    <rPh sb="115" eb="117">
      <t>ホゴ</t>
    </rPh>
    <rPh sb="117" eb="120">
      <t>ジュキュウシャ</t>
    </rPh>
    <rPh sb="122" eb="124">
      <t>コウヒ</t>
    </rPh>
    <rPh sb="127" eb="128">
      <t>アリ</t>
    </rPh>
    <phoneticPr fontId="2"/>
  </si>
  <si>
    <t>026_03</t>
  </si>
  <si>
    <t>バリデーションチェック機能（アドオンチェック）</t>
  </si>
  <si>
    <t>・オン資⇔電カル共有の資格確認にて、 「受給者番号/被保険者番号」が有効かをチェックする。
・またアドオンチェックにて、資格情報の種類（被保険者個人識別子/生活保護受給者識別子）とプロファイル上のsystem値が一致するかをチェックする。
&lt;エラーとなるパターン&gt;​
　・「被保険者番号」（公費フラグ無し）で、 system値が「http://jpfhir.jp/fhir/clins/Idsystem/JP_PublicPayer_memberID」​
　・「受給者番号」（公費フラグ有り）で、 system値が「http://jpfhir.jp/fhir/clins/Idsystem/JP_Insurance_memberID」​</t>
    <rPh sb="3" eb="4">
      <t>シ</t>
    </rPh>
    <rPh sb="5" eb="6">
      <t>デン</t>
    </rPh>
    <rPh sb="8" eb="10">
      <t>キョウユウ</t>
    </rPh>
    <rPh sb="26" eb="30">
      <t>ヒホケンシャ</t>
    </rPh>
    <rPh sb="30" eb="32">
      <t>バンゴウ</t>
    </rPh>
    <rPh sb="72" eb="74">
      <t>コジン</t>
    </rPh>
    <rPh sb="74" eb="77">
      <t>シキベツシ</t>
    </rPh>
    <rPh sb="96" eb="97">
      <t>ジョウ</t>
    </rPh>
    <phoneticPr fontId="2"/>
  </si>
  <si>
    <t>027</t>
  </si>
  <si>
    <t>027_01</t>
  </si>
  <si>
    <t>医療機関等マスタの配信</t>
    <phoneticPr fontId="2"/>
  </si>
  <si>
    <t>既存の標準マスタ配信機能で、新たに医療機関等マスタを医療機関へ配信できるようにする。</t>
    <phoneticPr fontId="2"/>
  </si>
  <si>
    <r>
      <t xml:space="preserve">・医療機関等が診療情報提供書を作成する際、ローカル環境で送付先医療機関を設定できるように医療機関等マスタを提供することを目的とする。
ーーーーーーーーー
</t>
    </r>
    <r>
      <rPr>
        <sz val="11"/>
        <color rgb="FFFF0000"/>
        <rFont val="Meiryo UI"/>
        <family val="3"/>
        <charset val="128"/>
      </rPr>
      <t>■起票背景
医療機関マスタを公開するか否かの検討を2024年11月まで行っていたため、2024年度にAPI提供機能を構築する時間的な猶予がなかった。
■目的
医療機関等が医療機関等マスタをマスタダウンロード機能を利用してダウンロードできるようにすることで、医療機関等の自施設のシステム環境内で、宛先としたい医療機関が電子カルテ情報共有サービスに対応しているかを確認することができる。(リクエストに対するレスポンスを早くすることができる。)</t>
    </r>
    <rPh sb="1" eb="3">
      <t>イリョウ</t>
    </rPh>
    <rPh sb="3" eb="5">
      <t>キカン</t>
    </rPh>
    <rPh sb="5" eb="6">
      <t>トウ</t>
    </rPh>
    <rPh sb="7" eb="9">
      <t>シンリョウ</t>
    </rPh>
    <rPh sb="9" eb="11">
      <t>ジョウホウ</t>
    </rPh>
    <rPh sb="11" eb="13">
      <t>テイキョウ</t>
    </rPh>
    <rPh sb="13" eb="14">
      <t>ショ</t>
    </rPh>
    <rPh sb="15" eb="17">
      <t>サクセイ</t>
    </rPh>
    <rPh sb="19" eb="20">
      <t>サイ</t>
    </rPh>
    <rPh sb="25" eb="27">
      <t>カンキョウ</t>
    </rPh>
    <rPh sb="28" eb="31">
      <t>ソウフサキ</t>
    </rPh>
    <rPh sb="31" eb="33">
      <t>イリョウ</t>
    </rPh>
    <rPh sb="33" eb="35">
      <t>キカン</t>
    </rPh>
    <rPh sb="36" eb="38">
      <t>セッテイ</t>
    </rPh>
    <rPh sb="44" eb="46">
      <t>イリョウ</t>
    </rPh>
    <rPh sb="46" eb="48">
      <t>キカン</t>
    </rPh>
    <rPh sb="48" eb="49">
      <t>トウ</t>
    </rPh>
    <rPh sb="53" eb="55">
      <t>テイキョウ</t>
    </rPh>
    <rPh sb="60" eb="62">
      <t>モクテキ</t>
    </rPh>
    <phoneticPr fontId="2"/>
  </si>
  <si>
    <t xml:space="preserve">送付先医療機関の設定において、発生していた工数・負担（電子カルテ情報共有サービス施設利用状況回答機能によるオン資への問い合わせ）を削減することが出来る。
</t>
  </si>
  <si>
    <t>JAHIS：済(収載範囲へのご意見収集)</t>
    <rPh sb="6" eb="7">
      <t>スミ</t>
    </rPh>
    <rPh sb="8" eb="10">
      <t>シュウサイ</t>
    </rPh>
    <rPh sb="10" eb="12">
      <t>ハンイ</t>
    </rPh>
    <rPh sb="15" eb="17">
      <t>イケン</t>
    </rPh>
    <rPh sb="17" eb="19">
      <t>シュウシュウ</t>
    </rPh>
    <phoneticPr fontId="2"/>
  </si>
  <si>
    <t>標準マスタの取得</t>
    <rPh sb="0" eb="2">
      <t>ヒョウジュン</t>
    </rPh>
    <rPh sb="6" eb="8">
      <t>シュトク</t>
    </rPh>
    <phoneticPr fontId="2"/>
  </si>
  <si>
    <t>医療機関等が医療機関等マスタ（電カル共有サービス利用開始日・運用開始日含む）を取得可能となる。</t>
  </si>
  <si>
    <t>医療機関等が医療機関等マスタを取得できない</t>
    <rPh sb="0" eb="2">
      <t>イリョウ</t>
    </rPh>
    <rPh sb="2" eb="4">
      <t>キカン</t>
    </rPh>
    <rPh sb="4" eb="5">
      <t>トウ</t>
    </rPh>
    <rPh sb="6" eb="8">
      <t>イリョウ</t>
    </rPh>
    <phoneticPr fontId="2"/>
  </si>
  <si>
    <t>医療機関等マスタ管理・連携機能</t>
    <rPh sb="0" eb="5">
      <t>イリョウキカントウ</t>
    </rPh>
    <rPh sb="8" eb="10">
      <t>カンリ</t>
    </rPh>
    <rPh sb="11" eb="13">
      <t>レンケイ</t>
    </rPh>
    <rPh sb="13" eb="15">
      <t>キノウ</t>
    </rPh>
    <phoneticPr fontId="2"/>
  </si>
  <si>
    <t>オン資から日次で電カル共有へ最新の医療機関等マスタ（下記マスタレイアウト参照）を連携する。
また、電カル共有サービスの利用開始年月日や利用フラグに該当する情報は総合ポータルサイトから取得する。
＜マスタレイアウト＞
例）項目名,論理データ型,桁数,固定長/可変長,定義値
・医療機関コード（管理用）,半角数字,10桁,固定長,都道府県コード(2)+点数表(1)+医療機関コード(連携用)(7)
・開設者氏名,全角半角混在,40桁,固定長
・医療機関名,全角半角混在,40桁,固定長
・所在地,全角半角混在,80桁,可変長
・電話番号（市外局番）,半角数字,6桁,固定長
・電話番号（市内局番）,半角数字,4桁,可変長
・電話番号（加入者番号）,半角数字,4桁,固定長
・郵便番号（郵便区番号）,半角数字,3桁,可変長
・郵便番号（町城番号）,半角数字,4桁,可変長
・新設年月日,半角数字,8桁,固定長
・廃止年月日,半角数字,8桁,固定長
・医療機関名（カナ）,全角半角混在,27桁,可変長
・市区町村コード,半角英数字,5桁,可変長
・電子カルテ情報共有サービス利用開始年月日,半角数字,8桁,可変長
・電子カルテ情報共有サービス利用フラグ,半角数字,1桁,固定長,0:利用不可、1:利用可能
・更新日時,半角英数記号,23桁,可変長,「YYYY,MM,DD hh:mm:ss.sss」形式</t>
    <rPh sb="2" eb="3">
      <t>シ</t>
    </rPh>
    <rPh sb="5" eb="7">
      <t>ニチジ</t>
    </rPh>
    <rPh sb="8" eb="9">
      <t>デン</t>
    </rPh>
    <rPh sb="11" eb="13">
      <t>キョウユウ</t>
    </rPh>
    <rPh sb="14" eb="16">
      <t>サイシン</t>
    </rPh>
    <rPh sb="17" eb="19">
      <t>イリョウ</t>
    </rPh>
    <rPh sb="19" eb="21">
      <t>キカン</t>
    </rPh>
    <rPh sb="21" eb="22">
      <t>トウ</t>
    </rPh>
    <rPh sb="40" eb="42">
      <t>レンケイ</t>
    </rPh>
    <rPh sb="49" eb="50">
      <t>デン</t>
    </rPh>
    <rPh sb="52" eb="54">
      <t>キョウユウ</t>
    </rPh>
    <rPh sb="59" eb="61">
      <t>リヨウ</t>
    </rPh>
    <rPh sb="61" eb="63">
      <t>カイシ</t>
    </rPh>
    <rPh sb="63" eb="65">
      <t>ネンゲツ</t>
    </rPh>
    <rPh sb="65" eb="66">
      <t>ビ</t>
    </rPh>
    <rPh sb="67" eb="69">
      <t>リヨウ</t>
    </rPh>
    <rPh sb="73" eb="75">
      <t>ガイトウ</t>
    </rPh>
    <rPh sb="77" eb="79">
      <t>ジョウホウ</t>
    </rPh>
    <rPh sb="80" eb="82">
      <t>ソウゴウ</t>
    </rPh>
    <rPh sb="91" eb="93">
      <t>シュトク</t>
    </rPh>
    <rPh sb="109" eb="110">
      <t>レイ</t>
    </rPh>
    <rPh sb="111" eb="113">
      <t>コウモク</t>
    </rPh>
    <rPh sb="113" eb="114">
      <t>メイ</t>
    </rPh>
    <rPh sb="115" eb="117">
      <t>ロンリ</t>
    </rPh>
    <rPh sb="120" eb="121">
      <t>ガタ</t>
    </rPh>
    <rPh sb="122" eb="124">
      <t>ケタスウ</t>
    </rPh>
    <rPh sb="125" eb="128">
      <t>コテイチョウ</t>
    </rPh>
    <rPh sb="129" eb="132">
      <t>カヘンチョウ</t>
    </rPh>
    <rPh sb="133" eb="135">
      <t>テイギ</t>
    </rPh>
    <rPh sb="135" eb="136">
      <t>アタイ</t>
    </rPh>
    <rPh sb="138" eb="140">
      <t>イリョウ</t>
    </rPh>
    <rPh sb="140" eb="142">
      <t>キカン</t>
    </rPh>
    <rPh sb="146" eb="149">
      <t>カンリヨウ</t>
    </rPh>
    <rPh sb="151" eb="153">
      <t>ハンカク</t>
    </rPh>
    <rPh sb="153" eb="155">
      <t>スウジ</t>
    </rPh>
    <rPh sb="158" eb="159">
      <t>ケタ</t>
    </rPh>
    <rPh sb="160" eb="163">
      <t>コテイチョウ</t>
    </rPh>
    <rPh sb="164" eb="168">
      <t>トドウフケン</t>
    </rPh>
    <rPh sb="175" eb="177">
      <t>テンスウ</t>
    </rPh>
    <rPh sb="177" eb="178">
      <t>ヒョウ</t>
    </rPh>
    <rPh sb="182" eb="184">
      <t>イリョウ</t>
    </rPh>
    <rPh sb="184" eb="186">
      <t>キカン</t>
    </rPh>
    <rPh sb="190" eb="192">
      <t>レンケイ</t>
    </rPh>
    <rPh sb="192" eb="193">
      <t>ヨウ</t>
    </rPh>
    <rPh sb="199" eb="201">
      <t>カイセツ</t>
    </rPh>
    <rPh sb="201" eb="202">
      <t>シャ</t>
    </rPh>
    <rPh sb="202" eb="204">
      <t>シメイ</t>
    </rPh>
    <rPh sb="205" eb="207">
      <t>ゼンカク</t>
    </rPh>
    <rPh sb="207" eb="209">
      <t>ハンカク</t>
    </rPh>
    <rPh sb="209" eb="211">
      <t>コンザイ</t>
    </rPh>
    <rPh sb="214" eb="215">
      <t>ケタ</t>
    </rPh>
    <rPh sb="216" eb="219">
      <t>コテイチョウ</t>
    </rPh>
    <rPh sb="221" eb="223">
      <t>イリョウ</t>
    </rPh>
    <rPh sb="223" eb="225">
      <t>キカン</t>
    </rPh>
    <rPh sb="225" eb="226">
      <t>メイ</t>
    </rPh>
    <rPh sb="227" eb="229">
      <t>ゼンカク</t>
    </rPh>
    <rPh sb="229" eb="231">
      <t>ハンカク</t>
    </rPh>
    <rPh sb="231" eb="233">
      <t>コンザイ</t>
    </rPh>
    <rPh sb="236" eb="237">
      <t>ケタ</t>
    </rPh>
    <rPh sb="238" eb="241">
      <t>コテイチョウ</t>
    </rPh>
    <rPh sb="243" eb="246">
      <t>ショザイチ</t>
    </rPh>
    <rPh sb="247" eb="249">
      <t>ゼンカク</t>
    </rPh>
    <rPh sb="249" eb="251">
      <t>ハンカク</t>
    </rPh>
    <rPh sb="251" eb="253">
      <t>コンザイ</t>
    </rPh>
    <rPh sb="256" eb="257">
      <t>ケタ</t>
    </rPh>
    <rPh sb="258" eb="261">
      <t>カヘンチョウ</t>
    </rPh>
    <rPh sb="263" eb="265">
      <t>デンワ</t>
    </rPh>
    <rPh sb="265" eb="267">
      <t>バンゴウ</t>
    </rPh>
    <rPh sb="268" eb="270">
      <t>シガイ</t>
    </rPh>
    <rPh sb="270" eb="272">
      <t>キョクバン</t>
    </rPh>
    <rPh sb="274" eb="276">
      <t>ハンカク</t>
    </rPh>
    <rPh sb="276" eb="278">
      <t>スウジ</t>
    </rPh>
    <rPh sb="280" eb="281">
      <t>ケタ</t>
    </rPh>
    <rPh sb="282" eb="285">
      <t>コテイチョウ</t>
    </rPh>
    <rPh sb="292" eb="294">
      <t>シナイ</t>
    </rPh>
    <rPh sb="294" eb="296">
      <t>キョクバン</t>
    </rPh>
    <rPh sb="298" eb="300">
      <t>ハンカク</t>
    </rPh>
    <rPh sb="300" eb="302">
      <t>スウジ</t>
    </rPh>
    <rPh sb="304" eb="305">
      <t>ケタ</t>
    </rPh>
    <rPh sb="306" eb="309">
      <t>カヘンチョウ</t>
    </rPh>
    <rPh sb="316" eb="319">
      <t>カニュウシャ</t>
    </rPh>
    <rPh sb="319" eb="321">
      <t>バンゴウ</t>
    </rPh>
    <rPh sb="323" eb="325">
      <t>ハンカク</t>
    </rPh>
    <rPh sb="325" eb="327">
      <t>スウジ</t>
    </rPh>
    <rPh sb="329" eb="330">
      <t>ケタ</t>
    </rPh>
    <rPh sb="331" eb="334">
      <t>コテイチョウ</t>
    </rPh>
    <rPh sb="336" eb="338">
      <t>ユウビン</t>
    </rPh>
    <rPh sb="338" eb="340">
      <t>バンゴウ</t>
    </rPh>
    <rPh sb="341" eb="343">
      <t>ユウビン</t>
    </rPh>
    <rPh sb="343" eb="344">
      <t>ク</t>
    </rPh>
    <rPh sb="344" eb="346">
      <t>バンゴウ</t>
    </rPh>
    <rPh sb="348" eb="350">
      <t>ハンカク</t>
    </rPh>
    <rPh sb="350" eb="352">
      <t>スウジ</t>
    </rPh>
    <rPh sb="354" eb="355">
      <t>ケタ</t>
    </rPh>
    <rPh sb="356" eb="359">
      <t>カヘンチョウ</t>
    </rPh>
    <rPh sb="361" eb="365">
      <t>ユウビンバンゴウ</t>
    </rPh>
    <rPh sb="366" eb="367">
      <t>マチ</t>
    </rPh>
    <rPh sb="367" eb="368">
      <t>シロ</t>
    </rPh>
    <rPh sb="368" eb="370">
      <t>バンゴウ</t>
    </rPh>
    <rPh sb="372" eb="374">
      <t>ハンカク</t>
    </rPh>
    <rPh sb="374" eb="376">
      <t>スウジ</t>
    </rPh>
    <rPh sb="378" eb="379">
      <t>ケタ</t>
    </rPh>
    <rPh sb="380" eb="383">
      <t>カヘンチョウ</t>
    </rPh>
    <rPh sb="385" eb="387">
      <t>シンセツ</t>
    </rPh>
    <rPh sb="387" eb="388">
      <t>ネン</t>
    </rPh>
    <rPh sb="388" eb="389">
      <t>ガツ</t>
    </rPh>
    <rPh sb="389" eb="390">
      <t>ビ</t>
    </rPh>
    <rPh sb="391" eb="393">
      <t>ハンカク</t>
    </rPh>
    <rPh sb="393" eb="395">
      <t>スウジ</t>
    </rPh>
    <rPh sb="397" eb="398">
      <t>ケタ</t>
    </rPh>
    <rPh sb="399" eb="402">
      <t>コテイチョウ</t>
    </rPh>
    <rPh sb="404" eb="406">
      <t>ハイシ</t>
    </rPh>
    <rPh sb="406" eb="408">
      <t>ネンゲツ</t>
    </rPh>
    <rPh sb="408" eb="409">
      <t>ビ</t>
    </rPh>
    <rPh sb="410" eb="412">
      <t>ハンカク</t>
    </rPh>
    <rPh sb="412" eb="414">
      <t>スウジ</t>
    </rPh>
    <rPh sb="416" eb="417">
      <t>ケタ</t>
    </rPh>
    <rPh sb="418" eb="421">
      <t>コテイチョウ</t>
    </rPh>
    <rPh sb="423" eb="425">
      <t>イリョウ</t>
    </rPh>
    <rPh sb="425" eb="427">
      <t>キカン</t>
    </rPh>
    <rPh sb="427" eb="428">
      <t>メイ</t>
    </rPh>
    <rPh sb="433" eb="435">
      <t>ゼンカク</t>
    </rPh>
    <rPh sb="435" eb="437">
      <t>ハンカク</t>
    </rPh>
    <rPh sb="437" eb="439">
      <t>コンザイ</t>
    </rPh>
    <rPh sb="442" eb="443">
      <t>ケタ</t>
    </rPh>
    <rPh sb="444" eb="447">
      <t>カヘンチョウ</t>
    </rPh>
    <rPh sb="449" eb="451">
      <t>シク</t>
    </rPh>
    <rPh sb="451" eb="453">
      <t>チョウソン</t>
    </rPh>
    <rPh sb="457" eb="459">
      <t>ハンカク</t>
    </rPh>
    <rPh sb="459" eb="462">
      <t>エイスウジ</t>
    </rPh>
    <rPh sb="464" eb="465">
      <t>ケタ</t>
    </rPh>
    <rPh sb="466" eb="469">
      <t>カヘンチョウ</t>
    </rPh>
    <rPh sb="471" eb="473">
      <t>デンシ</t>
    </rPh>
    <rPh sb="476" eb="478">
      <t>ジョウホウ</t>
    </rPh>
    <rPh sb="478" eb="480">
      <t>キョウユウ</t>
    </rPh>
    <rPh sb="484" eb="486">
      <t>リヨウ</t>
    </rPh>
    <rPh sb="486" eb="488">
      <t>カイシ</t>
    </rPh>
    <rPh sb="488" eb="490">
      <t>ネンゲツ</t>
    </rPh>
    <rPh sb="490" eb="491">
      <t>ビ</t>
    </rPh>
    <rPh sb="492" eb="494">
      <t>ハンカク</t>
    </rPh>
    <rPh sb="494" eb="496">
      <t>スウジ</t>
    </rPh>
    <rPh sb="498" eb="499">
      <t>ケタ</t>
    </rPh>
    <rPh sb="500" eb="503">
      <t>カヘンチョウ</t>
    </rPh>
    <rPh sb="505" eb="507">
      <t>デンシ</t>
    </rPh>
    <rPh sb="510" eb="512">
      <t>ジョウホウ</t>
    </rPh>
    <rPh sb="512" eb="514">
      <t>キョウユウ</t>
    </rPh>
    <rPh sb="518" eb="520">
      <t>リヨウ</t>
    </rPh>
    <rPh sb="524" eb="526">
      <t>ハンカク</t>
    </rPh>
    <rPh sb="526" eb="528">
      <t>スウジ</t>
    </rPh>
    <rPh sb="530" eb="531">
      <t>ケタ</t>
    </rPh>
    <rPh sb="532" eb="535">
      <t>コテイチョウ</t>
    </rPh>
    <rPh sb="538" eb="540">
      <t>リヨウ</t>
    </rPh>
    <rPh sb="540" eb="542">
      <t>フカ</t>
    </rPh>
    <rPh sb="545" eb="547">
      <t>リヨウ</t>
    </rPh>
    <rPh sb="547" eb="549">
      <t>カノウ</t>
    </rPh>
    <rPh sb="551" eb="553">
      <t>コウシン</t>
    </rPh>
    <rPh sb="553" eb="555">
      <t>ニチジ</t>
    </rPh>
    <rPh sb="556" eb="558">
      <t>ハンカク</t>
    </rPh>
    <rPh sb="558" eb="560">
      <t>エイスウ</t>
    </rPh>
    <rPh sb="560" eb="562">
      <t>キゴウ</t>
    </rPh>
    <rPh sb="565" eb="566">
      <t>ケタ</t>
    </rPh>
    <rPh sb="567" eb="570">
      <t>カヘンチョウ</t>
    </rPh>
    <rPh sb="596" eb="598">
      <t>ケイシキ</t>
    </rPh>
    <phoneticPr fontId="2"/>
  </si>
  <si>
    <t>医療機関等マスタ（仮称）
（ファイル識別ID：CISFL1xx）</t>
    <rPh sb="0" eb="5">
      <t>イリョウキカントウ</t>
    </rPh>
    <rPh sb="9" eb="10">
      <t>カリ</t>
    </rPh>
    <rPh sb="18" eb="20">
      <t>シキベツ</t>
    </rPh>
    <phoneticPr fontId="2"/>
  </si>
  <si>
    <t>027_02</t>
  </si>
  <si>
    <t>既存の標準マスタ配信機能で、新たに医療機関等マスタを医療機関へ配信できるようにする。</t>
    <rPh sb="0" eb="2">
      <t>キゾン</t>
    </rPh>
    <rPh sb="3" eb="5">
      <t>ヒョウジュン</t>
    </rPh>
    <rPh sb="8" eb="10">
      <t>ハイシン</t>
    </rPh>
    <rPh sb="10" eb="11">
      <t>キ</t>
    </rPh>
    <rPh sb="11" eb="12">
      <t>ノウ</t>
    </rPh>
    <rPh sb="14" eb="15">
      <t>アラ</t>
    </rPh>
    <rPh sb="17" eb="19">
      <t>イリョウ</t>
    </rPh>
    <rPh sb="19" eb="21">
      <t>キカン</t>
    </rPh>
    <rPh sb="21" eb="22">
      <t>トウ</t>
    </rPh>
    <rPh sb="26" eb="28">
      <t>イリョウ</t>
    </rPh>
    <rPh sb="28" eb="30">
      <t>キカン</t>
    </rPh>
    <rPh sb="31" eb="33">
      <t>ハイシン</t>
    </rPh>
    <phoneticPr fontId="2"/>
  </si>
  <si>
    <t>・医療機関等が診療情報提供書を作成する際、ローカル環境で送付先医療機関を設定できるように医療機関等マスタを提供することを目的とする。</t>
    <rPh sb="1" eb="3">
      <t>イリョウ</t>
    </rPh>
    <rPh sb="3" eb="5">
      <t>キカン</t>
    </rPh>
    <rPh sb="5" eb="6">
      <t>トウ</t>
    </rPh>
    <rPh sb="7" eb="9">
      <t>シンリョウ</t>
    </rPh>
    <rPh sb="9" eb="11">
      <t>ジョウホウ</t>
    </rPh>
    <rPh sb="11" eb="13">
      <t>テイキョウ</t>
    </rPh>
    <rPh sb="13" eb="14">
      <t>ショ</t>
    </rPh>
    <rPh sb="15" eb="17">
      <t>サクセイ</t>
    </rPh>
    <rPh sb="19" eb="20">
      <t>サイ</t>
    </rPh>
    <rPh sb="25" eb="27">
      <t>カンキョウ</t>
    </rPh>
    <rPh sb="28" eb="31">
      <t>ソウフサキ</t>
    </rPh>
    <rPh sb="31" eb="33">
      <t>イリョウ</t>
    </rPh>
    <rPh sb="33" eb="35">
      <t>キカン</t>
    </rPh>
    <rPh sb="36" eb="38">
      <t>セッテイ</t>
    </rPh>
    <rPh sb="44" eb="46">
      <t>イリョウ</t>
    </rPh>
    <rPh sb="46" eb="48">
      <t>キカン</t>
    </rPh>
    <rPh sb="48" eb="49">
      <t>トウ</t>
    </rPh>
    <rPh sb="53" eb="55">
      <t>テイキョウ</t>
    </rPh>
    <rPh sb="60" eb="62">
      <t>モクテキ</t>
    </rPh>
    <phoneticPr fontId="2"/>
  </si>
  <si>
    <t>送付先医療機関の設定において、発生していた工数・負担（電子カルテ情報共有サービス施設利用状況回答機能によるオン資への問い合わせ）を削減することが出来る。</t>
    <rPh sb="0" eb="2">
      <t>ソウフ</t>
    </rPh>
    <rPh sb="2" eb="3">
      <t>サキ</t>
    </rPh>
    <rPh sb="3" eb="5">
      <t>イリョウ</t>
    </rPh>
    <rPh sb="5" eb="7">
      <t>キカン</t>
    </rPh>
    <rPh sb="8" eb="10">
      <t>セッテイ</t>
    </rPh>
    <rPh sb="15" eb="17">
      <t>ハッセイ</t>
    </rPh>
    <rPh sb="21" eb="23">
      <t>コウスウ</t>
    </rPh>
    <rPh sb="24" eb="26">
      <t>フタン</t>
    </rPh>
    <rPh sb="27" eb="29">
      <t>デンシ</t>
    </rPh>
    <rPh sb="32" eb="34">
      <t>ジョウホウ</t>
    </rPh>
    <rPh sb="34" eb="36">
      <t>キョウユウ</t>
    </rPh>
    <rPh sb="40" eb="42">
      <t>シセツ</t>
    </rPh>
    <rPh sb="42" eb="44">
      <t>リヨウ</t>
    </rPh>
    <rPh sb="44" eb="46">
      <t>ジョウキョウ</t>
    </rPh>
    <rPh sb="46" eb="48">
      <t>カイトウ</t>
    </rPh>
    <rPh sb="48" eb="50">
      <t>キノウ</t>
    </rPh>
    <rPh sb="55" eb="56">
      <t>シ</t>
    </rPh>
    <rPh sb="58" eb="59">
      <t>ト</t>
    </rPh>
    <rPh sb="60" eb="61">
      <t>ア</t>
    </rPh>
    <rPh sb="65" eb="67">
      <t>サクゲン</t>
    </rPh>
    <rPh sb="72" eb="74">
      <t>デキ</t>
    </rPh>
    <phoneticPr fontId="2"/>
  </si>
  <si>
    <t>標準マスタの取得</t>
    <phoneticPr fontId="2"/>
  </si>
  <si>
    <t>医療機関等が医療機関等マスタ（電カル共有サービス利用開始日・運用開始日含む）を取得可能となる。</t>
    <rPh sb="0" eb="2">
      <t>イリョウ</t>
    </rPh>
    <rPh sb="2" eb="4">
      <t>キカン</t>
    </rPh>
    <rPh sb="4" eb="5">
      <t>トウ</t>
    </rPh>
    <rPh sb="6" eb="8">
      <t>イリョウ</t>
    </rPh>
    <rPh sb="8" eb="10">
      <t>キカン</t>
    </rPh>
    <rPh sb="10" eb="11">
      <t>トウ</t>
    </rPh>
    <rPh sb="15" eb="16">
      <t>デン</t>
    </rPh>
    <rPh sb="18" eb="20">
      <t>キョウユウ</t>
    </rPh>
    <rPh sb="24" eb="26">
      <t>リヨウ</t>
    </rPh>
    <rPh sb="26" eb="28">
      <t>カイシ</t>
    </rPh>
    <rPh sb="28" eb="29">
      <t>ビ</t>
    </rPh>
    <rPh sb="30" eb="32">
      <t>ウンヨウ</t>
    </rPh>
    <rPh sb="32" eb="34">
      <t>カイシ</t>
    </rPh>
    <rPh sb="34" eb="35">
      <t>ビ</t>
    </rPh>
    <rPh sb="35" eb="36">
      <t>フク</t>
    </rPh>
    <rPh sb="39" eb="41">
      <t>シュトク</t>
    </rPh>
    <rPh sb="41" eb="43">
      <t>カノウ</t>
    </rPh>
    <phoneticPr fontId="2"/>
  </si>
  <si>
    <t>標準マスタ配信機能</t>
    <rPh sb="0" eb="2">
      <t>ヒョウジュン</t>
    </rPh>
    <rPh sb="5" eb="7">
      <t>ハイシン</t>
    </rPh>
    <rPh sb="7" eb="9">
      <t>キノウ</t>
    </rPh>
    <phoneticPr fontId="2"/>
  </si>
  <si>
    <t>・最新の医療機関等マスタ（下記マスタレイアウト参照）を日次でオン資から取り込み、医療機関等から当該マスタの取得要求が来た場合に最新のマスタを返却する。（CIS,IF,301/302）
・以下パターンのいづれかの取得を医療機関等は選択できるため、要求に応じて返却する（医科のみ）
＜医療機関等マスタ記載内容パターン＞
A. 有効な医療機関コード　+　廃止済み医療機関コード全量　
B. 有効な医療機関コード　+　マスタ作成日から直近4か月分の廃止済み医療機関コード
＜マスタレイアウト＞
例）項目名,論理データ型,桁数,固定長/可変長,定義値
・医療機関コード（管理用）,半角数字,10桁,固定長,都道府県コード(2)+点数表(1)+医療機関コード(連携用)(7)
・開設者氏名,全角半角混在,40桁,固定長
・医療機関名,全角半角混在,40桁,固定長
・所在地,全角半角混在,80桁,可変長
・電話番号（市外局番）,半角数字,6桁,固定長
・電話番号（市内局番）,半角数字,4桁,可変長
・電話番号（加入者番号）,半角数字,4桁,固定長
・郵便番号（郵便区番号）,半角数字,3桁,可変長
・郵便番号（町城番号）,半角数字,4桁,可変長
・新設年月日,半角数字,8桁,固定長
・廃止年月日,半角数字,8桁,固定長
・医療機関名（カナ）,全角半角混在,27桁,可変長
・市区町村コード,半角英数字,5桁,可変長
・電子カルテ情報共有サービス利用開始年月日,半角数字,8桁,可変長
・電子カルテ情報共有サービス利用フラグ,半角数字,1桁,固定長,0:利用不可、1:利用可能
・更新日時,半角英数記号,23桁,可変長,「YYYY,MM,DD hh:mm:ss.sss」形式</t>
    <rPh sb="1" eb="3">
      <t>サイシン</t>
    </rPh>
    <rPh sb="4" eb="9">
      <t>イリョウキカントウ</t>
    </rPh>
    <rPh sb="13" eb="15">
      <t>カキ</t>
    </rPh>
    <rPh sb="23" eb="25">
      <t>サンショウ</t>
    </rPh>
    <rPh sb="27" eb="29">
      <t>ニチジ</t>
    </rPh>
    <rPh sb="32" eb="33">
      <t>シ</t>
    </rPh>
    <rPh sb="35" eb="36">
      <t>ト</t>
    </rPh>
    <rPh sb="37" eb="38">
      <t>コ</t>
    </rPh>
    <rPh sb="40" eb="45">
      <t>イリョウキカントウ</t>
    </rPh>
    <rPh sb="47" eb="49">
      <t>トウガイ</t>
    </rPh>
    <rPh sb="53" eb="55">
      <t>シュトク</t>
    </rPh>
    <rPh sb="55" eb="57">
      <t>ヨウキュウ</t>
    </rPh>
    <rPh sb="58" eb="59">
      <t>キ</t>
    </rPh>
    <rPh sb="60" eb="62">
      <t>バアイ</t>
    </rPh>
    <rPh sb="63" eb="65">
      <t>サイシン</t>
    </rPh>
    <rPh sb="70" eb="72">
      <t>ヘンキャク</t>
    </rPh>
    <rPh sb="93" eb="95">
      <t>イカ</t>
    </rPh>
    <rPh sb="105" eb="107">
      <t>シュトク</t>
    </rPh>
    <rPh sb="108" eb="113">
      <t>イリョウキカントウ</t>
    </rPh>
    <rPh sb="114" eb="116">
      <t>センタク</t>
    </rPh>
    <rPh sb="122" eb="124">
      <t>ヨウキュウ</t>
    </rPh>
    <rPh sb="125" eb="126">
      <t>オウ</t>
    </rPh>
    <rPh sb="128" eb="130">
      <t>ヘンキャク</t>
    </rPh>
    <rPh sb="133" eb="135">
      <t>イカ</t>
    </rPh>
    <rPh sb="141" eb="143">
      <t>イリョウ</t>
    </rPh>
    <rPh sb="143" eb="145">
      <t>キカン</t>
    </rPh>
    <rPh sb="145" eb="146">
      <t>トウ</t>
    </rPh>
    <rPh sb="149" eb="151">
      <t>キサイ</t>
    </rPh>
    <rPh sb="151" eb="153">
      <t>ナイヨウ</t>
    </rPh>
    <phoneticPr fontId="2"/>
  </si>
  <si>
    <t>医療機関等マスタ（仮称）
（ファイル識別ID：CISFL2xx）</t>
    <rPh sb="0" eb="5">
      <t>イリョウキカントウ</t>
    </rPh>
    <rPh sb="9" eb="10">
      <t>カリ</t>
    </rPh>
    <rPh sb="18" eb="20">
      <t>シキベツ</t>
    </rPh>
    <phoneticPr fontId="2"/>
  </si>
  <si>
    <t>027_03</t>
  </si>
  <si>
    <t>医療機関等マスタの取得</t>
    <rPh sb="0" eb="5">
      <t>イリョウキカントウ</t>
    </rPh>
    <rPh sb="9" eb="11">
      <t>シュトク</t>
    </rPh>
    <phoneticPr fontId="2"/>
  </si>
  <si>
    <t>医療機関等総合ポータルサイトの「電子カルテ情報共有サービスの利用開始・終了申請」で、医療機関等マスタに収載されている当該医療機関等の「住所」「電話番号」「郵便番号」を閲覧可能とする。
※上記の情報が誤っていた場合は、医療機関等が厚生局へ修正申請する</t>
    <rPh sb="0" eb="2">
      <t>イリョウ</t>
    </rPh>
    <rPh sb="2" eb="4">
      <t>キカン</t>
    </rPh>
    <rPh sb="4" eb="5">
      <t>トウ</t>
    </rPh>
    <rPh sb="5" eb="7">
      <t>ソウゴウ</t>
    </rPh>
    <rPh sb="16" eb="18">
      <t>デンシ</t>
    </rPh>
    <rPh sb="21" eb="25">
      <t>ジョウホウキョウユウ</t>
    </rPh>
    <rPh sb="30" eb="32">
      <t>リヨウ</t>
    </rPh>
    <rPh sb="32" eb="34">
      <t>カイシ</t>
    </rPh>
    <rPh sb="35" eb="37">
      <t>シュウリョウ</t>
    </rPh>
    <rPh sb="37" eb="39">
      <t>シンセイ</t>
    </rPh>
    <rPh sb="42" eb="47">
      <t>イリョウキカントウ</t>
    </rPh>
    <rPh sb="51" eb="53">
      <t>シュウサイ</t>
    </rPh>
    <rPh sb="58" eb="60">
      <t>トウガイ</t>
    </rPh>
    <rPh sb="60" eb="65">
      <t>イリョウキカントウ</t>
    </rPh>
    <rPh sb="67" eb="69">
      <t>ジュウショ</t>
    </rPh>
    <rPh sb="71" eb="75">
      <t>デンワバンゴウ</t>
    </rPh>
    <rPh sb="77" eb="81">
      <t>ユウビンバンゴウ</t>
    </rPh>
    <rPh sb="83" eb="85">
      <t>エツラン</t>
    </rPh>
    <rPh sb="85" eb="87">
      <t>カノウ</t>
    </rPh>
    <rPh sb="93" eb="95">
      <t>ジョウキ</t>
    </rPh>
    <rPh sb="108" eb="110">
      <t>イリョウ</t>
    </rPh>
    <rPh sb="110" eb="112">
      <t>キカン</t>
    </rPh>
    <rPh sb="112" eb="113">
      <t>トウ</t>
    </rPh>
    <rPh sb="118" eb="120">
      <t>シュウセイ</t>
    </rPh>
    <rPh sb="120" eb="122">
      <t>シンセイ</t>
    </rPh>
    <phoneticPr fontId="2"/>
  </si>
  <si>
    <t>・医療機関等マスタに収載されている当該医療機関等の「住所」「電話番号」「郵便番号」を確認できない</t>
    <phoneticPr fontId="2"/>
  </si>
  <si>
    <t>表示画面</t>
    <rPh sb="0" eb="2">
      <t>ヒョウジ</t>
    </rPh>
    <rPh sb="2" eb="4">
      <t>ガメン</t>
    </rPh>
    <phoneticPr fontId="2"/>
  </si>
  <si>
    <t>「電子カルテ情報共有サービスの利用申請」で、医療機関等マスタに収載されている当該医療機関等の「住所」「電話番号」「郵便番号」を表示させる。</t>
    <rPh sb="1" eb="3">
      <t>デンシ</t>
    </rPh>
    <rPh sb="6" eb="10">
      <t>ジョウホウキョウユウ</t>
    </rPh>
    <rPh sb="15" eb="17">
      <t>リヨウ</t>
    </rPh>
    <rPh sb="17" eb="19">
      <t>シンセイ</t>
    </rPh>
    <rPh sb="22" eb="24">
      <t>イリョウ</t>
    </rPh>
    <rPh sb="24" eb="26">
      <t>キカン</t>
    </rPh>
    <rPh sb="26" eb="27">
      <t>トウ</t>
    </rPh>
    <rPh sb="31" eb="33">
      <t>シュウサイ</t>
    </rPh>
    <rPh sb="38" eb="40">
      <t>トウガイ</t>
    </rPh>
    <rPh sb="40" eb="42">
      <t>イリョウ</t>
    </rPh>
    <rPh sb="42" eb="44">
      <t>キカン</t>
    </rPh>
    <rPh sb="44" eb="45">
      <t>トウ</t>
    </rPh>
    <rPh sb="47" eb="49">
      <t>ジュウショ</t>
    </rPh>
    <rPh sb="51" eb="53">
      <t>デンワ</t>
    </rPh>
    <rPh sb="53" eb="55">
      <t>バンゴウ</t>
    </rPh>
    <rPh sb="57" eb="61">
      <t>ユウビンバンゴウ</t>
    </rPh>
    <rPh sb="63" eb="65">
      <t>ヒョウジチュウシュツイリョウキカントウイリョウキカントウケッカヘンキャク</t>
    </rPh>
    <phoneticPr fontId="2"/>
  </si>
  <si>
    <t>028</t>
  </si>
  <si>
    <t>028_01</t>
  </si>
  <si>
    <t>規格別薬剤成分用コードマスタの配信停止</t>
  </si>
  <si>
    <t>医療機関等が送信した処方依頼情報に対するバリデーションチェックのインプット情報から、規格別薬剤成分コードマスタを外す。
※規格別薬剤成分用コードマスタのAPI提供機能の蓋締めは実装済み</t>
    <rPh sb="0" eb="2">
      <t>イリョウ</t>
    </rPh>
    <rPh sb="2" eb="4">
      <t>キカン</t>
    </rPh>
    <rPh sb="4" eb="5">
      <t>トウ</t>
    </rPh>
    <rPh sb="6" eb="8">
      <t>ソウシン</t>
    </rPh>
    <rPh sb="10" eb="12">
      <t>ショホウ</t>
    </rPh>
    <rPh sb="12" eb="14">
      <t>イライ</t>
    </rPh>
    <rPh sb="14" eb="16">
      <t>ジョウホウ</t>
    </rPh>
    <rPh sb="17" eb="18">
      <t>タイ</t>
    </rPh>
    <rPh sb="37" eb="39">
      <t>ジョウホウ</t>
    </rPh>
    <rPh sb="42" eb="44">
      <t>キカク</t>
    </rPh>
    <rPh sb="44" eb="45">
      <t>ベツ</t>
    </rPh>
    <rPh sb="45" eb="47">
      <t>ヤクザイ</t>
    </rPh>
    <rPh sb="47" eb="49">
      <t>セイブン</t>
    </rPh>
    <rPh sb="56" eb="57">
      <t>ハズ</t>
    </rPh>
    <rPh sb="88" eb="90">
      <t>ジッソウ</t>
    </rPh>
    <rPh sb="90" eb="91">
      <t>ズ</t>
    </rPh>
    <phoneticPr fontId="2"/>
  </si>
  <si>
    <t>・2/14に厚労省より「規格別薬剤成分コード」の利用が取り下げとなった旨の報告を受け、電子カルテ情報共有サービス基盤の改修が必要。​
※配信の蓋閉めは実装済み</t>
    <rPh sb="68" eb="70">
      <t>ハイシン</t>
    </rPh>
    <rPh sb="71" eb="72">
      <t>フタ</t>
    </rPh>
    <rPh sb="72" eb="73">
      <t>シ</t>
    </rPh>
    <rPh sb="75" eb="77">
      <t>ジッソウ</t>
    </rPh>
    <rPh sb="77" eb="78">
      <t>ズ</t>
    </rPh>
    <phoneticPr fontId="2"/>
  </si>
  <si>
    <t>文書情報の登録</t>
    <rPh sb="0" eb="2">
      <t>ブンショ</t>
    </rPh>
    <rPh sb="2" eb="4">
      <t>ジョウホウ</t>
    </rPh>
    <rPh sb="5" eb="7">
      <t>トウロク</t>
    </rPh>
    <phoneticPr fontId="2"/>
  </si>
  <si>
    <t>医療機関等が文書情報を登録する際、規格別薬剤成分コードに関するチェックを行わないようにする。</t>
    <rPh sb="0" eb="2">
      <t>イリョウ</t>
    </rPh>
    <rPh sb="2" eb="4">
      <t>キカン</t>
    </rPh>
    <rPh sb="4" eb="5">
      <t>トウ</t>
    </rPh>
    <rPh sb="6" eb="8">
      <t>ブンショ</t>
    </rPh>
    <rPh sb="8" eb="10">
      <t>ジョウホウ</t>
    </rPh>
    <rPh sb="11" eb="13">
      <t>トウロク</t>
    </rPh>
    <rPh sb="15" eb="16">
      <t>サイ</t>
    </rPh>
    <rPh sb="36" eb="37">
      <t>オコナ</t>
    </rPh>
    <phoneticPr fontId="2"/>
  </si>
  <si>
    <r>
      <t>規格別薬剤成分コードに関するチェックを行っている。</t>
    </r>
    <r>
      <rPr>
        <sz val="11"/>
        <color rgb="FFFF0000"/>
        <rFont val="Meiryo UI"/>
        <family val="3"/>
        <charset val="128"/>
      </rPr>
      <t xml:space="preserve">
</t>
    </r>
    <rPh sb="0" eb="2">
      <t>キカク</t>
    </rPh>
    <rPh sb="2" eb="3">
      <t>ベツ</t>
    </rPh>
    <rPh sb="3" eb="5">
      <t>ヤクザイ</t>
    </rPh>
    <rPh sb="5" eb="7">
      <t>セイブン</t>
    </rPh>
    <rPh sb="11" eb="12">
      <t>カン</t>
    </rPh>
    <rPh sb="19" eb="20">
      <t>オコナ</t>
    </rPh>
    <phoneticPr fontId="2"/>
  </si>
  <si>
    <t>規格別薬剤成分コードに関するチェックロジックを削除する。</t>
    <phoneticPr fontId="2"/>
  </si>
  <si>
    <t>029</t>
  </si>
  <si>
    <t>029_01</t>
  </si>
  <si>
    <t>薬剤アレルギーコードの名称をYCM+YJコードに変更する</t>
  </si>
  <si>
    <t>030</t>
  </si>
  <si>
    <t>030_01</t>
  </si>
  <si>
    <t>薬剤成分アレルギー用コードの名称を剤形・規格・銘柄不明コードに変更する</t>
    <rPh sb="9" eb="10">
      <t>ヨウ</t>
    </rPh>
    <rPh sb="20" eb="22">
      <t>キカク</t>
    </rPh>
    <phoneticPr fontId="2"/>
  </si>
  <si>
    <t>031</t>
  </si>
  <si>
    <t>031_01</t>
  </si>
  <si>
    <t>剤形・規格・銘柄不明コードのメタコードHCMを蓋締めする</t>
    <rPh sb="23" eb="25">
      <t>フタジ</t>
    </rPh>
    <phoneticPr fontId="2"/>
  </si>
  <si>
    <t>032</t>
  </si>
  <si>
    <t>032_01</t>
  </si>
  <si>
    <t>JLACコードマスタのシステム処理用ダミーコード（xyzxyzxyzxyz00001）無しでの配信</t>
    <phoneticPr fontId="2"/>
  </si>
  <si>
    <t>JLACコードマスタのJLAC11コードのシステム処理用ダミーコード（xyzxyzxyzxyz00001）が提供されないように改修する。</t>
    <phoneticPr fontId="2"/>
  </si>
  <si>
    <t xml:space="preserve">JLACコードマスタ（JLAC10と11がマッピングされたマスタ）について、電子カルテ情報共有サービスの設計・開発後、JLAC10コードの「998コード※1」の追加、及び、JLAC11には該当するコードは収載せず、「空欄」にするという方針が確定した（以下、変更後マスタとする）。
ただし、電カル共有サービスの内部処理では、JLAC11コードを主キーとしており「空欄」を許容できないため、内部処理用として「ダミーコード（xyzxyzxyzxyz00001）」を収載する対応を実施することとなった。（以下、内部処理用マスタとする）
一方で、医療機関へ標準マスタ配信機能（API連携）で配信するマスタは、本来「変更後のマスタ」とするべきであるが、現行仕様では「内部処理用マスタ」を配信する仕組みとなっていることを受けて、現状、ダミーコードは外部へ公開しないよう「空ファイル」を暫定対応として配信している※2。
標準マスタ配信機能では、「変換後マスタ（配信用マスタ）」を配信、内部処理では「内部処理用マスタ」を利用する仕様にする。なお、 「変換後マスタ（配信用マスタ）」、 「内部処理用マスタ（ダミーコードあり）」は厚労省から受領し、基盤システムへ登録する。
※1 「998コード」とは、測定法3桁のコーディングが正しくできない/わからない場合に利用する。ただし、JLAC11では収載されていない。
※2 医療機関等向け総合ポータルサイトでは変更後マスタを取得できる
そのため、内部処理用マスタは、内部処理として利用し、変換後マスタ（配信用マスタ）は、標準マスタ配信機能で連携できるようにする必要がある。
</t>
    <rPh sb="125" eb="127">
      <t>イカ</t>
    </rPh>
    <rPh sb="248" eb="250">
      <t>イカ</t>
    </rPh>
    <rPh sb="520" eb="522">
      <t>トウロク</t>
    </rPh>
    <phoneticPr fontId="2"/>
  </si>
  <si>
    <t>紹介状の作成等の目的で、医療機関がJLACコードマスタを取得出来る。</t>
    <rPh sb="0" eb="3">
      <t>ショウカイジョウ</t>
    </rPh>
    <rPh sb="4" eb="6">
      <t>サクセイ</t>
    </rPh>
    <rPh sb="6" eb="7">
      <t>トウ</t>
    </rPh>
    <rPh sb="8" eb="10">
      <t>モクテキ</t>
    </rPh>
    <rPh sb="12" eb="14">
      <t>イリョウ</t>
    </rPh>
    <rPh sb="14" eb="16">
      <t>キカン</t>
    </rPh>
    <rPh sb="28" eb="30">
      <t>シュトク</t>
    </rPh>
    <rPh sb="30" eb="32">
      <t>デキ</t>
    </rPh>
    <phoneticPr fontId="2"/>
  </si>
  <si>
    <t>令和7年12月</t>
    <rPh sb="0" eb="2">
      <t>レイワ</t>
    </rPh>
    <rPh sb="3" eb="4">
      <t>ネン</t>
    </rPh>
    <rPh sb="6" eb="7">
      <t>ガツ</t>
    </rPh>
    <phoneticPr fontId="2"/>
  </si>
  <si>
    <r>
      <t xml:space="preserve">令和7年12月リリース案件候補
→
</t>
    </r>
    <r>
      <rPr>
        <strike/>
        <sz val="11"/>
        <color rgb="FFFF0000"/>
        <rFont val="Meiryo UI"/>
        <family val="3"/>
        <charset val="128"/>
      </rPr>
      <t>【厚労省記載】
2025/5/22ONS共有会にて基金名渕様より7月リリース案件で対応中と受領。</t>
    </r>
    <r>
      <rPr>
        <strike/>
        <sz val="11"/>
        <color theme="1"/>
        <rFont val="Meiryo UI"/>
        <family val="3"/>
        <charset val="128"/>
      </rPr>
      <t xml:space="preserve">
</t>
    </r>
    <r>
      <rPr>
        <sz val="11"/>
        <color theme="1"/>
        <rFont val="Meiryo UI"/>
        <family val="3"/>
        <charset val="128"/>
      </rPr>
      <t>→
【厚労省記載】
基金より、12月案件リリースである旨受領。</t>
    </r>
    <rPh sb="0" eb="2">
      <t>レイワ</t>
    </rPh>
    <rPh sb="3" eb="4">
      <t>ネン</t>
    </rPh>
    <rPh sb="6" eb="7">
      <t>ツキ</t>
    </rPh>
    <rPh sb="11" eb="13">
      <t>アンケン</t>
    </rPh>
    <rPh sb="13" eb="15">
      <t>コウホ</t>
    </rPh>
    <rPh sb="20" eb="23">
      <t>コウロウショウ</t>
    </rPh>
    <rPh sb="23" eb="25">
      <t>キサイ</t>
    </rPh>
    <rPh sb="39" eb="41">
      <t>キョウユウ</t>
    </rPh>
    <rPh sb="41" eb="42">
      <t>カイ</t>
    </rPh>
    <rPh sb="44" eb="46">
      <t>キキン</t>
    </rPh>
    <rPh sb="46" eb="49">
      <t>ナブチサマ</t>
    </rPh>
    <rPh sb="52" eb="53">
      <t>ガツ</t>
    </rPh>
    <rPh sb="57" eb="59">
      <t>アンケン</t>
    </rPh>
    <rPh sb="60" eb="63">
      <t>タイオウチュウ</t>
    </rPh>
    <rPh sb="64" eb="66">
      <t>ジュリョウ</t>
    </rPh>
    <rPh sb="71" eb="74">
      <t>コウロウショウ</t>
    </rPh>
    <rPh sb="74" eb="76">
      <t>キサイ</t>
    </rPh>
    <rPh sb="78" eb="80">
      <t>キキン</t>
    </rPh>
    <rPh sb="85" eb="86">
      <t>ガツ</t>
    </rPh>
    <rPh sb="86" eb="88">
      <t>アンケン</t>
    </rPh>
    <rPh sb="95" eb="96">
      <t>ムネ</t>
    </rPh>
    <rPh sb="96" eb="98">
      <t>ジュリョウ</t>
    </rPh>
    <phoneticPr fontId="2"/>
  </si>
  <si>
    <r>
      <t>【基金記載</t>
    </r>
    <r>
      <rPr>
        <sz val="11"/>
        <color rgb="FF0000FF"/>
        <rFont val="Meiryo UI"/>
        <family val="3"/>
        <charset val="128"/>
      </rPr>
      <t>】</t>
    </r>
    <r>
      <rPr>
        <sz val="11"/>
        <color theme="1"/>
        <rFont val="Meiryo UI"/>
        <family val="3"/>
        <charset val="128"/>
      </rPr>
      <t xml:space="preserve">
医療機関等がマスタ取得要求した際、JLACコードマスタ取得可能とする。
※JLACコードマスタは配信用と内部処理用の2種類があり、ダミーコードを含まない配信用を取得する
</t>
    </r>
    <r>
      <rPr>
        <sz val="11"/>
        <color rgb="FFFF0000"/>
        <rFont val="Meiryo UI"/>
        <family val="3"/>
        <charset val="128"/>
      </rPr>
      <t>【厚労省要求事項】
システム処理用ダミーコード(xyzxyzxyzxyz00001)を省略したJLACマスタを整備する。</t>
    </r>
    <rPh sb="1" eb="3">
      <t>キキン</t>
    </rPh>
    <rPh sb="3" eb="5">
      <t>キサイ</t>
    </rPh>
    <rPh sb="7" eb="9">
      <t>イリョウ</t>
    </rPh>
    <rPh sb="9" eb="11">
      <t>キカン</t>
    </rPh>
    <rPh sb="11" eb="12">
      <t>トウ</t>
    </rPh>
    <rPh sb="16" eb="18">
      <t>シュトク</t>
    </rPh>
    <rPh sb="18" eb="20">
      <t>ヨウキュウ</t>
    </rPh>
    <rPh sb="22" eb="23">
      <t>サイ</t>
    </rPh>
    <rPh sb="34" eb="36">
      <t>シュトク</t>
    </rPh>
    <rPh sb="36" eb="38">
      <t>カノウ</t>
    </rPh>
    <rPh sb="55" eb="58">
      <t>ハイシンヨウ</t>
    </rPh>
    <rPh sb="59" eb="61">
      <t>ナイブ</t>
    </rPh>
    <rPh sb="61" eb="64">
      <t>ショリヨウ</t>
    </rPh>
    <rPh sb="66" eb="68">
      <t>シュルイ</t>
    </rPh>
    <rPh sb="79" eb="80">
      <t>フク</t>
    </rPh>
    <rPh sb="83" eb="86">
      <t>ハイシンヨウ</t>
    </rPh>
    <rPh sb="87" eb="89">
      <t>シュトク</t>
    </rPh>
    <rPh sb="94" eb="97">
      <t>コウロウショウ</t>
    </rPh>
    <rPh sb="97" eb="99">
      <t>ヨウキュウ</t>
    </rPh>
    <rPh sb="99" eb="101">
      <t>ジコウ</t>
    </rPh>
    <phoneticPr fontId="2"/>
  </si>
  <si>
    <r>
      <t xml:space="preserve">マスタファイル取得要求に対し、空ファイルを配信している。
</t>
    </r>
    <r>
      <rPr>
        <sz val="11"/>
        <color rgb="FFFF0000"/>
        <rFont val="Meiryo UI"/>
        <family val="3"/>
        <charset val="128"/>
      </rPr>
      <t>【厚労省認識】
内部管理するマスタとAPIで医療機関等に提供するマスタが共通のものとなっているため、このままだと医療機関等に提供するマスタにも内部処理用のダミーコードが入ったまま提供されてしまう。</t>
    </r>
    <rPh sb="7" eb="9">
      <t>シュトク</t>
    </rPh>
    <rPh sb="9" eb="11">
      <t>ヨウキュウ</t>
    </rPh>
    <rPh sb="12" eb="13">
      <t>タイ</t>
    </rPh>
    <rPh sb="15" eb="16">
      <t>カラ</t>
    </rPh>
    <rPh sb="21" eb="23">
      <t>ハイシン</t>
    </rPh>
    <rPh sb="31" eb="34">
      <t>コウロウショウ</t>
    </rPh>
    <rPh sb="34" eb="36">
      <t>ニンシキ</t>
    </rPh>
    <phoneticPr fontId="2"/>
  </si>
  <si>
    <t>マスタ配信機能</t>
    <rPh sb="3" eb="7">
      <t>ハイシンキノウ</t>
    </rPh>
    <phoneticPr fontId="2"/>
  </si>
  <si>
    <r>
      <t xml:space="preserve">変換後マスタ（配信用マスタ）を作成し、マスタファイル取得要求へのレスポンスにセットする。
※配信以外の処理は内部処理用マスタ（ダミーコードあり）を参照する（現在から変更なし）
</t>
    </r>
    <r>
      <rPr>
        <sz val="11"/>
        <color rgb="FFFF0000"/>
        <rFont val="Meiryo UI"/>
        <family val="3"/>
        <charset val="128"/>
      </rPr>
      <t xml:space="preserve">
【厚労省認識】
内部処理用のJLACコードマスタと、医療機関等にAPIで提供するJLACマスタは別々に独立させる。
その上で、医療機関等にAPIで提供するJLACマスタには、システム処理用ダミーコード(xyzxyzxyzxyz00001)を省略した形式とする。</t>
    </r>
    <rPh sb="15" eb="17">
      <t>サクセイ</t>
    </rPh>
    <rPh sb="52" eb="54">
      <t>ショリ</t>
    </rPh>
    <rPh sb="74" eb="76">
      <t>サンショウ</t>
    </rPh>
    <rPh sb="79" eb="81">
      <t>ゲンザイ</t>
    </rPh>
    <rPh sb="83" eb="85">
      <t>ヘンコウ</t>
    </rPh>
    <rPh sb="91" eb="96">
      <t>コウロウショウニンシキ</t>
    </rPh>
    <phoneticPr fontId="2"/>
  </si>
  <si>
    <t>共有項目JLACコードマスタ（ファイル識別ID：CISFL004）</t>
    <rPh sb="19" eb="21">
      <t>シキベツ</t>
    </rPh>
    <phoneticPr fontId="2"/>
  </si>
  <si>
    <t>033</t>
  </si>
  <si>
    <t>033_01</t>
  </si>
  <si>
    <t>食物アレルギーのミニマムセットのAPI提供</t>
    <phoneticPr fontId="2"/>
  </si>
  <si>
    <t>食物アレルギーのミニマムセットのAPI提供</t>
  </si>
  <si>
    <t>■起票背景
JFAGY（食品）コードでは記載の詳細度が高く、オレンジの中に、ネーブルオレンジやバレンシアオレンジのコードがある等、記載方法にばらつきがある。そのため、食品表示法で定義されている主要な食品コード(重篤なアレルギー症状を引き起こす恐れのある28項目)を別途提供すべきではないかという意見が厚労省内部より付議された。
■目的
重篤なアレルギー症状を引き起こす恐れのある主要な食品アレルギー項目についてコードの標準化を図る</t>
    <phoneticPr fontId="2"/>
  </si>
  <si>
    <t>JFAGYコードのマスタをマッピングすることにより、相互運用性が担保できる</t>
    <phoneticPr fontId="2"/>
  </si>
  <si>
    <t>厚労科研・大江先生：完了</t>
    <rPh sb="0" eb="2">
      <t>コウロウ</t>
    </rPh>
    <rPh sb="2" eb="3">
      <t>ケン</t>
    </rPh>
    <rPh sb="4" eb="8">
      <t>オオエセンセイ</t>
    </rPh>
    <rPh sb="10" eb="12">
      <t>カンリョウ</t>
    </rPh>
    <phoneticPr fontId="2"/>
  </si>
  <si>
    <t>取り下げ理由：
大江先生との打ち合わせの結果食物アレルギーミニマムセットはJ-fagyコードのMAINFLAGにフラグ立てする方針となった。（8/25 開発課題検討会）</t>
    <rPh sb="8" eb="10">
      <t>オオエ</t>
    </rPh>
    <rPh sb="10" eb="12">
      <t>センセイ</t>
    </rPh>
    <rPh sb="14" eb="15">
      <t>ウ</t>
    </rPh>
    <rPh sb="16" eb="17">
      <t>ア</t>
    </rPh>
    <rPh sb="20" eb="22">
      <t>ケッカ</t>
    </rPh>
    <rPh sb="22" eb="24">
      <t>ショクモツ</t>
    </rPh>
    <rPh sb="59" eb="60">
      <t>タ</t>
    </rPh>
    <rPh sb="63" eb="65">
      <t>ホウシン</t>
    </rPh>
    <rPh sb="76" eb="78">
      <t>カイハツ</t>
    </rPh>
    <rPh sb="78" eb="83">
      <t>カダイケントウカイ</t>
    </rPh>
    <phoneticPr fontId="2"/>
  </si>
  <si>
    <t>■要求事項
機能：標準マスタ管理・提供機能
内容：食品表示法に基づく主要アレルギー28項目のマスタを作成し、医療機関等にAPIでファイル提供する。
■備考
特にこのミニマムセットを用いたバリデーションチェックは行わない。（これまで通りJFAGYコード表に照合したアドオンチェックを行う）</t>
    <phoneticPr fontId="2"/>
  </si>
  <si>
    <t>JFAGYコードのマスタを自由にマッピングしてもらうと、コードの粒度が異なるため、相互運用性が担保できない恐れがある。</t>
    <phoneticPr fontId="2"/>
  </si>
  <si>
    <t>食品表示法に基づく主要アレルギー28項目のマスタを作成し、医療機関等にAPIでファイル提供する。
※特にこのミニマムセットを用いたバリデーションチェックは行わない。（これまで通りJFAGYコード表に照合したアドオンチェックを行う）</t>
    <phoneticPr fontId="2"/>
  </si>
  <si>
    <t>主要食物アレルギーマスタレイアウト（名称仮）</t>
    <rPh sb="0" eb="2">
      <t>シュヨウ</t>
    </rPh>
    <rPh sb="2" eb="4">
      <t>ショクモツ</t>
    </rPh>
    <rPh sb="18" eb="20">
      <t>メイショウ</t>
    </rPh>
    <rPh sb="20" eb="21">
      <t>カリ</t>
    </rPh>
    <phoneticPr fontId="2"/>
  </si>
  <si>
    <t>034</t>
  </si>
  <si>
    <t>034_01</t>
  </si>
  <si>
    <t>YJコードと剤形・規格・銘柄不明コードとのマッピング表のAPI提供</t>
    <phoneticPr fontId="2"/>
  </si>
  <si>
    <t>■起票背景
YJコードと剤型・規格・銘柄不明コードとのマッピング表は医療機関等総合ポータルサイトにて公開しているが、現在APIにて提供は行っていない。
■目的
医療機関内でYJコードと剤形・規格・銘柄不明コードのマッピング作業が必要な場合に活用いただく。</t>
    <phoneticPr fontId="2"/>
  </si>
  <si>
    <t>YJコードと剤型・規格・銘柄不明コードとのマッピング表をインターネットにつながっていない電子カルテシステム等に直接取り込むことができる</t>
    <phoneticPr fontId="2"/>
  </si>
  <si>
    <t>JAHIS：剤形規格銘柄不明コードマスタの将来的な要否確認予定</t>
    <rPh sb="6" eb="14">
      <t>ザイケイキカクメイガラフメイ</t>
    </rPh>
    <rPh sb="21" eb="24">
      <t>ショウライテキ</t>
    </rPh>
    <rPh sb="25" eb="27">
      <t>ヨウヒ</t>
    </rPh>
    <rPh sb="27" eb="29">
      <t>カクニン</t>
    </rPh>
    <rPh sb="29" eb="31">
      <t>ヨテイ</t>
    </rPh>
    <phoneticPr fontId="2"/>
  </si>
  <si>
    <t>■要求事項
機能：標準マスタ管理・提供機能
内容：YJコードと剤型・規格・銘柄不明コードとのマッピング表をAPIでファイル提供する。
■備考
現在医療機関等ポータルサイトに掲載しているものと同じファイルの連携を想定（カラムも同一）。
特にこのマッピング表を用いたバリデーションチェックは行わない。</t>
    <phoneticPr fontId="2"/>
  </si>
  <si>
    <t>ポータルサイトのみの掲示では、インターネットにつながっていない電子カルテシステム等に直接取り込みできない。(事務端末にダウンロードして、施設内で電子カルテ端末に移す作業が発生する)</t>
    <phoneticPr fontId="2"/>
  </si>
  <si>
    <t>YJコードと剤型・規格・銘柄不明コードとのマッピング表をAPIでファイル提供する。
※現在医療機関等ポータルサイトに掲載しているものと同じファイルの連携を想定（カラムも同一）。
特にこのマッピング表を用いたバリデーションチェックは行わない。</t>
    <phoneticPr fontId="2"/>
  </si>
  <si>
    <t>なし
（マスタレイアウト公開済み）</t>
    <rPh sb="12" eb="14">
      <t>コウカイ</t>
    </rPh>
    <rPh sb="14" eb="15">
      <t>ズ</t>
    </rPh>
    <phoneticPr fontId="2"/>
  </si>
  <si>
    <t>看護情報(訪問看護指示書等)の連携機能の追加</t>
    <phoneticPr fontId="2"/>
  </si>
  <si>
    <t>歯科情報(歯科用診療情報提供書等)の連携機能の追加</t>
    <phoneticPr fontId="2"/>
  </si>
  <si>
    <t>042</t>
    <phoneticPr fontId="2"/>
  </si>
  <si>
    <t>042_01</t>
  </si>
  <si>
    <t>本サービスの利用状況確認フラグの対象を利用申請日から運用開始日に変更する</t>
    <phoneticPr fontId="2"/>
  </si>
  <si>
    <t>本サービスの利用状況確認フラグの対象を利用申請日から運用開始日に変更する</t>
    <rPh sb="0" eb="1">
      <t>ホン</t>
    </rPh>
    <rPh sb="6" eb="10">
      <t>リヨウジョウキョウ</t>
    </rPh>
    <rPh sb="10" eb="12">
      <t>カクニン</t>
    </rPh>
    <rPh sb="16" eb="18">
      <t>タイショウ</t>
    </rPh>
    <rPh sb="19" eb="24">
      <t>リヨウシンセイビ</t>
    </rPh>
    <rPh sb="26" eb="31">
      <t>ウンヨウカイシビ</t>
    </rPh>
    <rPh sb="32" eb="34">
      <t>ヘンコウ</t>
    </rPh>
    <phoneticPr fontId="2"/>
  </si>
  <si>
    <t>現状、電子カルテ情報共有サービスの「施設利用状況回答機能」では、医療機関の利用開始日を用いて「利用有無フラグ」を判定している （電子処方箋の事例を参考にして仕様を定義）。
そのため、文書情報の送付先候補として、本来は全ての導入作業が完了し「運用開始申請」を行った医療機関が表示されるべきであるが、運用開始前の導入作業中の医療機関についても表示されてしまう。加えて、業務を開始していない医療機関に対しても当該医療機関の利用開始日以降であれば、文書情報を登録できてしまう。
そのため、「施設利用状況回答機能」と「文書情報登録機能」の制御に「利用開始日」ではなく「運用開始日」を用いる必要がある。
※接続検証環境を利用するテスト段階では、運用開始日が入力されていないことを考慮して、接続検証環境では「運用開始日」に「利用開始日」の日付を実施機関側で登録するか。</t>
  </si>
  <si>
    <t>医療機関側が業務を開始する前に文書情報登録機能を利用されてしまうのを回避できる。</t>
  </si>
  <si>
    <r>
      <t xml:space="preserve">令和7年7月
</t>
    </r>
    <r>
      <rPr>
        <sz val="11"/>
        <color rgb="FF8BE1FF"/>
        <rFont val="Meiryo UI"/>
        <family val="3"/>
        <charset val="128"/>
      </rPr>
      <t>→令和7年12月</t>
    </r>
    <rPh sb="0" eb="2">
      <t>レイワ</t>
    </rPh>
    <rPh sb="3" eb="4">
      <t>ネン</t>
    </rPh>
    <rPh sb="5" eb="6">
      <t>ツキ</t>
    </rPh>
    <rPh sb="8" eb="10">
      <t>レイワ</t>
    </rPh>
    <rPh sb="11" eb="12">
      <t>ネン</t>
    </rPh>
    <rPh sb="14" eb="15">
      <t>ガツ</t>
    </rPh>
    <phoneticPr fontId="2"/>
  </si>
  <si>
    <t>・医療機関等が施設利用状況照会を行った際、利用有無を医療機関に返却する。
・「文書情報登録機能」で、文書情報の送付先医療機関が利用有無：無 の場合、登録エラーとする。
※下記条件をすべて満たす場合は、利用有無：有とする。
　・「環境設定」がサービスを「利用する」である
　・「運用開始日」が処理日以前である　（←現在は「利用開始日」）
※医療機関等が電子カルテ情報共有サービスを利用する際は、医療機関等向け総合ポータルサイト(以下、ポータルサイトという)で「利用申請」を行った後に運用テスト等の導入作業を実施。その後、ポータルサイトにて「運用開始申請」を行って業務を開始する。</t>
  </si>
  <si>
    <t>利用有無は「利用開始日」で判定している。</t>
    <rPh sb="0" eb="4">
      <t>リヨウウム</t>
    </rPh>
    <rPh sb="6" eb="8">
      <t>リヨウ</t>
    </rPh>
    <rPh sb="8" eb="11">
      <t>カイシビ</t>
    </rPh>
    <rPh sb="13" eb="15">
      <t>ハンテイ</t>
    </rPh>
    <phoneticPr fontId="2"/>
  </si>
  <si>
    <t>バリデーションチェック機能</t>
    <rPh sb="11" eb="13">
      <t>キノウ</t>
    </rPh>
    <phoneticPr fontId="2"/>
  </si>
  <si>
    <t>・「施設利用状況回答機能」で「利用有無フラグ」を医療機関に返却する。
・「文書情報登録機能」で、文書情報の送付先医療機関が「利用有無フラグ：無」 の場合、アドオンチェックで登録エラーとする。
※利用有無フラグの判定ロジックは下記の通り。
　以下の全ての条件を満たす場合、フラグが「有」となる
　・「環境設定」がサービスを「利用する」である
　・「運用開始日」が処理日(文書情報登録・施設利用状況回答の処理)以前である　（←現在は「利用開始日」）</t>
    <rPh sb="112" eb="114">
      <t>カキ</t>
    </rPh>
    <rPh sb="115" eb="116">
      <t>トオ</t>
    </rPh>
    <phoneticPr fontId="2"/>
  </si>
  <si>
    <t>042_02</t>
  </si>
  <si>
    <t>現状、電子カルテ情報共有サービスの「施設利用状況回答機能」では、医療機関の利用開始日を用いて「利用有無フラグ」を判定している （電子処方箋の事例を参考にして仕様を定義）。
そのため、文書情報の送付先候補として、本来は全ての導入作業が完了し「運用開始申請」を行った医療機関が表示されるべきであるが、運用開始前の導入作業中の医療機関についても表示されてしまう。加えて、業務を開始していない医療機関に対しても当該医療機関の利用開始日以降であれば、文書情報を登録できてしまう。
そのため、「施設利用状況回答機能」と「文書情報登録機能」の制御に「利用開始日」ではなく「運用開始日」を用いる必要がある。</t>
    <rPh sb="111" eb="115">
      <t>ドウニュウサギョウ</t>
    </rPh>
    <phoneticPr fontId="2"/>
  </si>
  <si>
    <t>医療機関側の電カル共有サービスの運用準備が終わる前に文書情報要録機能が利用されるのを防げる。</t>
    <rPh sb="0" eb="4">
      <t>イリョウキカン</t>
    </rPh>
    <rPh sb="4" eb="5">
      <t>ガワ</t>
    </rPh>
    <rPh sb="6" eb="7">
      <t>デン</t>
    </rPh>
    <rPh sb="9" eb="11">
      <t>キョウユウ</t>
    </rPh>
    <rPh sb="16" eb="18">
      <t>ウンヨウ</t>
    </rPh>
    <rPh sb="18" eb="20">
      <t>ジュンビ</t>
    </rPh>
    <rPh sb="21" eb="22">
      <t>オ</t>
    </rPh>
    <rPh sb="24" eb="25">
      <t>マエ</t>
    </rPh>
    <rPh sb="26" eb="30">
      <t>ブンショジョウホウ</t>
    </rPh>
    <rPh sb="30" eb="34">
      <t>ヨウロクキノウ</t>
    </rPh>
    <rPh sb="35" eb="37">
      <t>リヨウ</t>
    </rPh>
    <rPh sb="42" eb="43">
      <t>フセ</t>
    </rPh>
    <phoneticPr fontId="2"/>
  </si>
  <si>
    <t>令和7年7月
→令和7年12月</t>
    <rPh sb="0" eb="2">
      <t>レイワ</t>
    </rPh>
    <rPh sb="3" eb="4">
      <t>ネン</t>
    </rPh>
    <rPh sb="5" eb="6">
      <t>ガツ</t>
    </rPh>
    <rPh sb="8" eb="10">
      <t>レイワ</t>
    </rPh>
    <rPh sb="11" eb="12">
      <t>ネン</t>
    </rPh>
    <rPh sb="14" eb="15">
      <t>ガツ</t>
    </rPh>
    <phoneticPr fontId="2"/>
  </si>
  <si>
    <t>令和7年12月</t>
  </si>
  <si>
    <t>医療機関等が医療機関ポータルサイトで「運用開始日」を入力できるようにする。
※医療機関等が電子カルテ情報共有サービスを利用する際は、医療機関等向け総合ポータルサイト(以下、ポータルサイトという)で「利用申請」を行った後に運用テスト等の導入作業を実施。その後、ポータルサイトにて「運用開始申請」を行って業務を開始する。</t>
    <rPh sb="0" eb="5">
      <t>イリョウキカントウ</t>
    </rPh>
    <rPh sb="6" eb="10">
      <t>イリョウキカン</t>
    </rPh>
    <rPh sb="19" eb="24">
      <t>ウンヨウカイシビ</t>
    </rPh>
    <rPh sb="26" eb="28">
      <t>ニュウリョク</t>
    </rPh>
    <phoneticPr fontId="2"/>
  </si>
  <si>
    <t>医療機関等が医療機関ポータルサイトで「利用開始日」のみ入力できる。</t>
    <rPh sb="0" eb="5">
      <t>イリョウキカントウ</t>
    </rPh>
    <rPh sb="6" eb="10">
      <t>イリョウキカン</t>
    </rPh>
    <rPh sb="19" eb="24">
      <t>リヨウカイシビ</t>
    </rPh>
    <rPh sb="27" eb="29">
      <t>ニュウリョク</t>
    </rPh>
    <phoneticPr fontId="2"/>
  </si>
  <si>
    <t>医療機関資格情報連携機能</t>
    <rPh sb="0" eb="4">
      <t>イリョウキカン</t>
    </rPh>
    <rPh sb="4" eb="6">
      <t>シカク</t>
    </rPh>
    <rPh sb="6" eb="10">
      <t>ジョウホウレンケイ</t>
    </rPh>
    <rPh sb="10" eb="12">
      <t>キノウ</t>
    </rPh>
    <phoneticPr fontId="2"/>
  </si>
  <si>
    <t>医療機関ポータルサイトで医療機関が入力する「運用開始日」を追加し、オン資へ連携する。</t>
    <rPh sb="0" eb="2">
      <t>イリョウ</t>
    </rPh>
    <rPh sb="2" eb="4">
      <t>キカン</t>
    </rPh>
    <rPh sb="12" eb="14">
      <t>イリョウ</t>
    </rPh>
    <rPh sb="14" eb="16">
      <t>キカン</t>
    </rPh>
    <rPh sb="17" eb="19">
      <t>ニュウリョク</t>
    </rPh>
    <rPh sb="22" eb="24">
      <t>ウンヨウ</t>
    </rPh>
    <rPh sb="24" eb="26">
      <t>カイシ</t>
    </rPh>
    <rPh sb="26" eb="27">
      <t>ビ</t>
    </rPh>
    <rPh sb="29" eb="31">
      <t>ツイカ</t>
    </rPh>
    <rPh sb="35" eb="36">
      <t>シ</t>
    </rPh>
    <rPh sb="37" eb="39">
      <t>レンケイ</t>
    </rPh>
    <phoneticPr fontId="2"/>
  </si>
  <si>
    <t>043</t>
  </si>
  <si>
    <t>043_01</t>
  </si>
  <si>
    <t>マイナンバーカードを使ったリモート署名を追加実装する(電子処方箋に合わせて)</t>
    <rPh sb="10" eb="11">
      <t>ツカ</t>
    </rPh>
    <rPh sb="17" eb="19">
      <t>ショメイ</t>
    </rPh>
    <rPh sb="20" eb="24">
      <t>ツイカジッソウ</t>
    </rPh>
    <rPh sb="27" eb="32">
      <t>デンシショホウセン</t>
    </rPh>
    <rPh sb="33" eb="34">
      <t>ア</t>
    </rPh>
    <phoneticPr fontId="2"/>
  </si>
  <si>
    <t>046</t>
  </si>
  <si>
    <t>046_01</t>
  </si>
  <si>
    <t>3文書6情報</t>
  </si>
  <si>
    <t>医療機関等システム情報の収集に係るIF変更</t>
    <rPh sb="0" eb="2">
      <t>イリョウ</t>
    </rPh>
    <rPh sb="2" eb="4">
      <t>キカン</t>
    </rPh>
    <rPh sb="4" eb="5">
      <t>トウ</t>
    </rPh>
    <rPh sb="9" eb="11">
      <t>ジョウホウ</t>
    </rPh>
    <rPh sb="12" eb="14">
      <t>シュウシュウ</t>
    </rPh>
    <rPh sb="15" eb="16">
      <t>カカ</t>
    </rPh>
    <rPh sb="19" eb="21">
      <t>ヘンコウ</t>
    </rPh>
    <phoneticPr fontId="2"/>
  </si>
  <si>
    <t>医療機関I/F項目に電子カルテベンダ等情報を追加する</t>
    <rPh sb="0" eb="4">
      <t>イリョウキカン</t>
    </rPh>
    <rPh sb="7" eb="9">
      <t>コウモク</t>
    </rPh>
    <rPh sb="10" eb="12">
      <t>デンシ</t>
    </rPh>
    <rPh sb="18" eb="19">
      <t>ナド</t>
    </rPh>
    <rPh sb="19" eb="21">
      <t>ジョウホウ</t>
    </rPh>
    <rPh sb="22" eb="24">
      <t>ツイカ</t>
    </rPh>
    <phoneticPr fontId="2"/>
  </si>
  <si>
    <t>JAHIS：調整済み</t>
    <rPh sb="6" eb="8">
      <t>チョウセイ</t>
    </rPh>
    <rPh sb="8" eb="9">
      <t>ズ</t>
    </rPh>
    <phoneticPr fontId="2"/>
  </si>
  <si>
    <t>■要求事項1：下記の外部IFの「メッセージヘッダー」に①ソフトウェア名称②ソフトウェアバージョン③ソフトウェア開発元　を任意項目として追加する。
・文書情報登録要求（CIS-IF-101）
・カルテ臨床情報登録要求（CIS-IF-201）
・健診文書登録要求（CIS-IF-120）
・患者サマリ登録要求（CIS-IF-126）
■要求事項2：①②③XML要求ファイルにおける入力規則は以下とする。
・出現回数（最小）：0
・出現回数（最大）：1
・データ型：文字列
・桁数（最大）：255
・可変長/固定長：可変長</t>
    <phoneticPr fontId="2"/>
  </si>
  <si>
    <t>049</t>
  </si>
  <si>
    <t>049_01</t>
  </si>
  <si>
    <t>接続検証環境第二の新規構築</t>
    <rPh sb="0" eb="2">
      <t>セツゾク</t>
    </rPh>
    <rPh sb="2" eb="4">
      <t>ケンショウ</t>
    </rPh>
    <rPh sb="4" eb="6">
      <t>カンキョウ</t>
    </rPh>
    <rPh sb="6" eb="7">
      <t>ダイ</t>
    </rPh>
    <rPh sb="7" eb="8">
      <t>ニ</t>
    </rPh>
    <rPh sb="9" eb="11">
      <t>シンキ</t>
    </rPh>
    <rPh sb="11" eb="13">
      <t>コウチク</t>
    </rPh>
    <phoneticPr fontId="2"/>
  </si>
  <si>
    <t>電子カルテ情報共有サービス用の接続検証環境第ニを新規構築する</t>
    <rPh sb="0" eb="2">
      <t>デンシ</t>
    </rPh>
    <rPh sb="5" eb="9">
      <t>ジョウホウキョウユウ</t>
    </rPh>
    <rPh sb="13" eb="14">
      <t>ヨウ</t>
    </rPh>
    <rPh sb="15" eb="22">
      <t>セツゾクケンショウカンキョウダイ</t>
    </rPh>
    <rPh sb="24" eb="28">
      <t>シンキコウチク</t>
    </rPh>
    <phoneticPr fontId="2"/>
  </si>
  <si>
    <t>現在、本番環境と接続検証第1環境の2つの環境があり、本番環境で発生した事象を確認するために、本番環境と接続検証第1環境は原則同じリリースバージョンとしている。そのため、機能改善として改修したものを本番環境にリリースする前に問題ないか検証する環境がないので、接続検証第2環境を構築する。</t>
    <rPh sb="0" eb="2">
      <t>ゲンザイ</t>
    </rPh>
    <rPh sb="3" eb="5">
      <t>ホンバン</t>
    </rPh>
    <rPh sb="5" eb="7">
      <t>カンキョウ</t>
    </rPh>
    <rPh sb="8" eb="10">
      <t>セツゾク</t>
    </rPh>
    <rPh sb="10" eb="12">
      <t>ケンショウ</t>
    </rPh>
    <rPh sb="12" eb="13">
      <t>ダイ</t>
    </rPh>
    <rPh sb="14" eb="16">
      <t>カンキョウ</t>
    </rPh>
    <rPh sb="20" eb="22">
      <t>カンキョウ</t>
    </rPh>
    <rPh sb="26" eb="28">
      <t>ホンバン</t>
    </rPh>
    <rPh sb="28" eb="30">
      <t>カンキョウ</t>
    </rPh>
    <rPh sb="31" eb="33">
      <t>ハッセイ</t>
    </rPh>
    <rPh sb="35" eb="37">
      <t>ジショウ</t>
    </rPh>
    <rPh sb="38" eb="40">
      <t>カクニン</t>
    </rPh>
    <rPh sb="60" eb="62">
      <t>ゲンソク</t>
    </rPh>
    <rPh sb="62" eb="63">
      <t>オナ</t>
    </rPh>
    <rPh sb="111" eb="113">
      <t>モンダイ</t>
    </rPh>
    <rPh sb="116" eb="118">
      <t>ケンショウ</t>
    </rPh>
    <rPh sb="120" eb="122">
      <t>カンキョウ</t>
    </rPh>
    <rPh sb="128" eb="130">
      <t>セツゾク</t>
    </rPh>
    <rPh sb="130" eb="132">
      <t>ケンショウ</t>
    </rPh>
    <rPh sb="132" eb="133">
      <t>ダイ</t>
    </rPh>
    <rPh sb="134" eb="136">
      <t>カンキョウ</t>
    </rPh>
    <rPh sb="137" eb="139">
      <t>コウチク</t>
    </rPh>
    <phoneticPr fontId="2"/>
  </si>
  <si>
    <t>電子カルテ情報共有サービスの接続検証環境第2を構築する。</t>
    <rPh sb="0" eb="2">
      <t>デンシ</t>
    </rPh>
    <rPh sb="5" eb="9">
      <t>ジョウホウキョウユウ</t>
    </rPh>
    <rPh sb="14" eb="20">
      <t>セツゾクケンショウカンキョウ</t>
    </rPh>
    <rPh sb="20" eb="21">
      <t>ダイ</t>
    </rPh>
    <rPh sb="23" eb="25">
      <t>コウチク</t>
    </rPh>
    <phoneticPr fontId="2"/>
  </si>
  <si>
    <t>電子カルテ情報共有サービスの接続検証環境第2がない</t>
    <rPh sb="0" eb="2">
      <t>デンシ</t>
    </rPh>
    <rPh sb="5" eb="9">
      <t>ジョウホウキョウユウ</t>
    </rPh>
    <rPh sb="14" eb="20">
      <t>セツゾクケンショウカンキョウ</t>
    </rPh>
    <rPh sb="20" eb="21">
      <t>ダイ</t>
    </rPh>
    <phoneticPr fontId="2"/>
  </si>
  <si>
    <t>機能改善として改修したものを本番環境にリリースする前に問題ないか検証するための環境を構築する。</t>
    <rPh sb="0" eb="2">
      <t>キノウ</t>
    </rPh>
    <rPh sb="2" eb="4">
      <t>カイゼン</t>
    </rPh>
    <rPh sb="7" eb="9">
      <t>カイシュウ</t>
    </rPh>
    <rPh sb="14" eb="16">
      <t>ホンバン</t>
    </rPh>
    <rPh sb="16" eb="18">
      <t>カンキョウ</t>
    </rPh>
    <rPh sb="25" eb="26">
      <t>マエ</t>
    </rPh>
    <rPh sb="27" eb="29">
      <t>モンダイ</t>
    </rPh>
    <rPh sb="32" eb="34">
      <t>ケンショウ</t>
    </rPh>
    <rPh sb="39" eb="41">
      <t>カンキョウ</t>
    </rPh>
    <rPh sb="42" eb="44">
      <t>コウチク</t>
    </rPh>
    <phoneticPr fontId="2"/>
  </si>
  <si>
    <t>マイナポ連携</t>
    <phoneticPr fontId="2"/>
  </si>
  <si>
    <t>051</t>
  </si>
  <si>
    <t>051_01</t>
  </si>
  <si>
    <t>マイナポータルを活用して、医療情報閲覧の一括同意ができる機能を新規構築する(顔CRのスキップ機能)</t>
    <rPh sb="8" eb="10">
      <t>カツヨウ</t>
    </rPh>
    <rPh sb="13" eb="15">
      <t>イリョウ</t>
    </rPh>
    <rPh sb="15" eb="17">
      <t>ジョウホウ</t>
    </rPh>
    <rPh sb="17" eb="19">
      <t>エツラン</t>
    </rPh>
    <rPh sb="20" eb="22">
      <t>イッカツ</t>
    </rPh>
    <rPh sb="22" eb="24">
      <t>ドウイ</t>
    </rPh>
    <rPh sb="28" eb="30">
      <t>キノウ</t>
    </rPh>
    <rPh sb="31" eb="35">
      <t>シンキコウチク</t>
    </rPh>
    <rPh sb="38" eb="39">
      <t>カオ</t>
    </rPh>
    <rPh sb="46" eb="48">
      <t>キノウ</t>
    </rPh>
    <phoneticPr fontId="2"/>
  </si>
  <si>
    <t>デジタル庁：調整予定</t>
    <rPh sb="4" eb="5">
      <t>チョウ</t>
    </rPh>
    <rPh sb="6" eb="10">
      <t>チョウセイヨテイ</t>
    </rPh>
    <phoneticPr fontId="2"/>
  </si>
  <si>
    <t>052</t>
  </si>
  <si>
    <t>052_01</t>
  </si>
  <si>
    <t>マイナポータルへのPUSH通知機能</t>
    <phoneticPr fontId="2"/>
  </si>
  <si>
    <t>デジ庁検知/要望</t>
  </si>
  <si>
    <t>マイナポータルへの紹介状同意・健診結果のPUSH通知機能を新規構築する</t>
    <rPh sb="9" eb="12">
      <t>ショウカイジョウ</t>
    </rPh>
    <rPh sb="12" eb="14">
      <t>ドウイ</t>
    </rPh>
    <rPh sb="15" eb="17">
      <t>ケンシン</t>
    </rPh>
    <rPh sb="17" eb="19">
      <t>ケッカ</t>
    </rPh>
    <phoneticPr fontId="2"/>
  </si>
  <si>
    <t>■起票背景
電子カルテ情報共有サービスで、健診情報を取り扱うメリットの一つに、受診者がいち早く、健診結果を確認できることを挙げている。このメリットを国民に享受してもらうためにも、マイナポータルを都度開いて確認しなくとも、Push形式で通知が来るようにしたいと厚労省からデジタル庁に要望。
また、診療情報提供書の同意保留を解除する操作についても、患者が失念してしまうリスクもあるため、同様のPush通知ができるようにしたいという要望をデジタル庁に提示。
■目的
Push通知で本人のスマートフォンに直接お知らせが届くことで、データ登録後の速やかな確認と、やるべきことの漏れ防止が可能になる。</t>
  </si>
  <si>
    <t>Push通知で本人のスマートフォンに直接お知らせが届くことで、データ登録後の速やかな確認と、やるべきことの漏れ防止になる</t>
    <phoneticPr fontId="2"/>
  </si>
  <si>
    <t>デジタル庁：調整済み</t>
    <rPh sb="8" eb="9">
      <t>ズ</t>
    </rPh>
    <phoneticPr fontId="2"/>
  </si>
  <si>
    <t>■要求事項１　健診結果の通知
機能：健診Push通知機能
内容：健診結果が電子カルテ情報共有サービスに登録/取消/変更されたタイミングで、マイナポータルに健診結果が登録された旨の通知情報を連携する。
■要求事項２　診療情報提供書の通知
機能：同意が必要な診療情報提供書Push通知機能
内容：閲覧保留ステータスの診療情報提供書が電子カルテ情報共有サービスに登録/変更/削除されたタイミング及び閲覧保留ステータスに変更されたタイミングで、マイナポータルに同意操作が必要な旨の通知情報を連携する。
■備考
・Push通知の連携方法は、他の省庁間連携機能の通知機能(年金関係のお知らせ等)と同様のものとする。
・健診Push通知の対象は、電子カルテ情報共有サービス由来の健診情報のみとする。(保険者由来の情報はリードタイムが発生するため)
※患者サマリーの登録通知は含めなくてよいかは要確認。</t>
    <phoneticPr fontId="2"/>
  </si>
  <si>
    <t>自分自身でマイナポータルを開かないと、情報が入っているか否かの確認ができない状態だと、使い勝手として難があるため、結果的にマイナポータルを利用されない恐れがある。さらには電子カルテ情報共有サービスのメリットそのものを損なうリスクもある。</t>
    <phoneticPr fontId="2"/>
  </si>
  <si>
    <t>・同意が必要な診療情報提供書Push通知機能
・健診Push通知機能</t>
    <phoneticPr fontId="2"/>
  </si>
  <si>
    <t>■要求事項１　健診結果の通知
機能：健診Push通知機能
内容：健診結果が電子カルテ情報共有サービスに登録/取消/変更されたタイミングで、マイナポータルに健診結果が登録された旨の通知情報を連携する。
■要求事項２　診療情報提供書の通知
機能：同意が必要な診療情報提供書Push通知機能
内容：閲覧保留ステータスの診療情報提供書が電子カルテ情報共有サービスに登録/変更/削除されたタイミング及び閲覧保留ステータスに変更されたタイミングで、マイナポータルに同意操作が必要な旨の通知情報を連携する。
■備考
・Push通知の連携方法は、他の省庁間連携機能の通知機能(年金関係のお知らせ等)と同様のものとする。
・健診Push通知の対象は、電子カルテ情報共有サービス由来の健診情報のみとする。(保険者由来の情報はリードタイムが発生するため)
※患者サマリーの登録通知は含めなくてよいかは要確認。</t>
    <phoneticPr fontId="2"/>
  </si>
  <si>
    <t>PUSH通知のレイアウト</t>
    <rPh sb="4" eb="6">
      <t>ツウチ</t>
    </rPh>
    <phoneticPr fontId="2"/>
  </si>
  <si>
    <r>
      <t xml:space="preserve">リリース時期は3月になる。(調達・開発等は12月リリース案件併せて実施予定)
</t>
    </r>
    <r>
      <rPr>
        <sz val="10"/>
        <color rgb="FFFF0000"/>
        <rFont val="Meiryo UI"/>
        <family val="3"/>
        <charset val="128"/>
      </rPr>
      <t>→認識相違なし</t>
    </r>
    <rPh sb="4" eb="6">
      <t>ジキ</t>
    </rPh>
    <rPh sb="8" eb="9">
      <t>ガツ</t>
    </rPh>
    <rPh sb="14" eb="16">
      <t>チョウタツ</t>
    </rPh>
    <rPh sb="17" eb="19">
      <t>カイハツ</t>
    </rPh>
    <rPh sb="19" eb="20">
      <t>トウ</t>
    </rPh>
    <rPh sb="23" eb="24">
      <t>ガツ</t>
    </rPh>
    <rPh sb="28" eb="30">
      <t>アンケン</t>
    </rPh>
    <rPh sb="30" eb="31">
      <t>アワ</t>
    </rPh>
    <rPh sb="33" eb="35">
      <t>ジッシ</t>
    </rPh>
    <rPh sb="35" eb="37">
      <t>ヨテイ</t>
    </rPh>
    <rPh sb="40" eb="44">
      <t>ニンシキソウイ</t>
    </rPh>
    <phoneticPr fontId="37"/>
  </si>
  <si>
    <t>054</t>
  </si>
  <si>
    <t>054_01</t>
  </si>
  <si>
    <t>日時情報のデータ形式の変更</t>
    <rPh sb="0" eb="2">
      <t>ニチジ</t>
    </rPh>
    <rPh sb="2" eb="4">
      <t>ジョウホウ</t>
    </rPh>
    <rPh sb="8" eb="10">
      <t>ケイシキ</t>
    </rPh>
    <rPh sb="11" eb="13">
      <t>ヘンコウ</t>
    </rPh>
    <phoneticPr fontId="2"/>
  </si>
  <si>
    <t>仕様不備対応</t>
  </si>
  <si>
    <t>￥</t>
    <phoneticPr fontId="2"/>
  </si>
  <si>
    <t>医療機関等が登録する2文書6情報に関して、オンライン資格確認等システム・電子カルテ情報共有サービス間で取り扱い可能な日時情報の形式を統一する。</t>
    <rPh sb="0" eb="2">
      <t>イリョウ</t>
    </rPh>
    <rPh sb="2" eb="4">
      <t>キカン</t>
    </rPh>
    <rPh sb="4" eb="5">
      <t>トウ</t>
    </rPh>
    <rPh sb="6" eb="8">
      <t>トウロク</t>
    </rPh>
    <rPh sb="11" eb="13">
      <t>ブンショ</t>
    </rPh>
    <rPh sb="14" eb="16">
      <t>ジョウホウ</t>
    </rPh>
    <rPh sb="17" eb="18">
      <t>カン</t>
    </rPh>
    <rPh sb="26" eb="28">
      <t>シカク</t>
    </rPh>
    <rPh sb="28" eb="30">
      <t>カクニン</t>
    </rPh>
    <rPh sb="30" eb="31">
      <t>トウ</t>
    </rPh>
    <rPh sb="36" eb="38">
      <t>デンシ</t>
    </rPh>
    <rPh sb="41" eb="45">
      <t>ジョウホウキョウユウ</t>
    </rPh>
    <rPh sb="49" eb="50">
      <t>カン</t>
    </rPh>
    <rPh sb="51" eb="52">
      <t>ト</t>
    </rPh>
    <rPh sb="53" eb="54">
      <t>アツカ</t>
    </rPh>
    <rPh sb="55" eb="57">
      <t>カノウ</t>
    </rPh>
    <rPh sb="58" eb="60">
      <t>ニチジ</t>
    </rPh>
    <rPh sb="60" eb="62">
      <t>ジョウホウ</t>
    </rPh>
    <rPh sb="63" eb="65">
      <t>ケイシキ</t>
    </rPh>
    <rPh sb="66" eb="68">
      <t>トウイツ</t>
    </rPh>
    <phoneticPr fontId="2"/>
  </si>
  <si>
    <t>■起票背景
現状、オンライン資格確認等システムでは、2文書6情報に記録される「日時情報(date・datetime型要素)」について、以下の3つの形式以外受け入れることができない状況。
①YYYY-MM-DD
②YYYY-MM-DDThh:mm:ss+zz:zz
③YYYY-MM-DDThh:mm:ss.SSSZ
■目的
日時情報をオンライン資格確認システム側で処理できるようにすること。</t>
    <phoneticPr fontId="2"/>
  </si>
  <si>
    <t>JAHIS：済</t>
    <rPh sb="6" eb="7">
      <t>スミ</t>
    </rPh>
    <phoneticPr fontId="2"/>
  </si>
  <si>
    <t>2文書6情報の登録</t>
    <rPh sb="1" eb="3">
      <t>ブンショ</t>
    </rPh>
    <rPh sb="4" eb="6">
      <t>ジョウホウ</t>
    </rPh>
    <rPh sb="7" eb="9">
      <t>トウロク</t>
    </rPh>
    <phoneticPr fontId="2"/>
  </si>
  <si>
    <t>要求事項１：オンライン資格確認システム
・機能：内部処理
・内容：「日時情報(date・datetime型要素)」について、以下の5つの形式を受け入れることを可能とする。
要求事項２：電子カルテ情報共有サービス
・機能：アドオンチェック機能
・内容：「「日時情報(date・datetime型要素)」について、以下の5つの形式以外はエラーとする。
&lt;原則&gt;
①YYYY-MM-DD
②YYYY-MM-DDThh:mm:ss+zz:zz
③YYYY-MM-DDThh:mm:ss.SSSZ
&lt;例外&gt;
AllergyIntolerance、CondtionのonsetDateTimeのみ適用
④YYYY
⑤YYYY-MM　
■備考
JAHISへ「現在の電カルシステム等の実装状況」「形式を拡張するべきか」を調査したところ、本サービスで取り扱い可能3つのデータ形式で充足している且つ3つの型式に限定してほしいという回答をいただいた。</t>
    <phoneticPr fontId="2"/>
  </si>
  <si>
    <t>FHIR記述上は、より多彩な記述方法のバリエーションがあるため、日時情報のフォーマットを規定する必要がある。
また、AllergyIntolerance、CondtionのonsetDateTimeで「YYYY」「YYYY-MM」が記述可能なため、それに合わせた対応が必要。</t>
    <phoneticPr fontId="2"/>
  </si>
  <si>
    <r>
      <t xml:space="preserve">バリデーションチェック機能（アドオンチェック）
</t>
    </r>
    <r>
      <rPr>
        <sz val="10"/>
        <color rgb="FFFF0000"/>
        <rFont val="Meiryo UI"/>
        <family val="3"/>
        <charset val="128"/>
      </rPr>
      <t>【厚労省の要求】
・電子カルテ情報共有サービス アドオンチェック</t>
    </r>
    <rPh sb="25" eb="28">
      <t>コウロウショウ</t>
    </rPh>
    <rPh sb="29" eb="31">
      <t>ヨウキュウ</t>
    </rPh>
    <rPh sb="34" eb="36">
      <t>デンシ</t>
    </rPh>
    <rPh sb="39" eb="43">
      <t>ジョウホウキョウユウ</t>
    </rPh>
    <phoneticPr fontId="2"/>
  </si>
  <si>
    <r>
      <rPr>
        <sz val="10"/>
        <color rgb="FF000000"/>
        <rFont val="Meiryo UI"/>
        <family val="3"/>
        <charset val="128"/>
      </rPr>
      <t xml:space="preserve">日時フォーマットは下記のみを許容するようにアドオンチェックのロジックを変更する。
①YYYY-MM-DD
②YYYY-MM-DDThh:mm:ss+zz:zz
③YYYY-MM-DDThh:mm:ss.SSSZ
なお、例外として、AllergyIntolerance及びCondtionのonsetDateTimeに関しては下記フォーマットも許容する。
④YYYY
⑤YYYY-MM
※タイムゾーンは日本のみとする
※健診文書は電子的な標準様式（第4期）に合わせてアドオンチェックルール通りとする
※要件は厚労省にてJAHISに確認依頼中
</t>
    </r>
    <r>
      <rPr>
        <sz val="10"/>
        <color rgb="FFFF0000"/>
        <rFont val="Meiryo UI"/>
        <family val="3"/>
        <charset val="128"/>
      </rPr>
      <t>【厚労省の要求】
・機能：アドオンチェック機能
・内容：「「日時情報(date・datetime型要素)」について、以下の5つの形式以外はエラーとする。
&lt;原則&gt;
①YYYY-MM-DD
②YYYY-MM-DDThh:mm:ss+zz:zz
③YYYY-MM-DDThh:mm:ss.SSSZ
&lt;例外&gt;
AllergyIntolerance、CondtionのonsetDateTimeのみ適用
④YYYY
⑤YYYY-MM　
■備考
JAHISへ「現在の電カルシステム等の実装状況」「形式を拡張するべきか」を調査したところ、本サービスで取り扱い可能3つのデータ形式で充足している且つ3つの型式に限定してほしいという回答をいただいた。</t>
    </r>
    <phoneticPr fontId="2"/>
  </si>
  <si>
    <t>外部IFのXMLレイアウト(備考の記載のみ)</t>
    <rPh sb="0" eb="2">
      <t>ガイブ</t>
    </rPh>
    <rPh sb="14" eb="16">
      <t>ビコウ</t>
    </rPh>
    <rPh sb="17" eb="19">
      <t>キサイ</t>
    </rPh>
    <phoneticPr fontId="2"/>
  </si>
  <si>
    <t>054_02</t>
  </si>
  <si>
    <t>日時情報のデータ形式の変更</t>
    <phoneticPr fontId="2"/>
  </si>
  <si>
    <t>医療機関等が登録する2文書7情報に関して、オンライン資格確認等システム・電子カルテ情報共有サービス間で取り扱い可能な日時情報の形式を統一する。</t>
    <rPh sb="0" eb="2">
      <t>イリョウ</t>
    </rPh>
    <rPh sb="2" eb="4">
      <t>キカン</t>
    </rPh>
    <rPh sb="4" eb="5">
      <t>トウ</t>
    </rPh>
    <rPh sb="6" eb="8">
      <t>トウロク</t>
    </rPh>
    <rPh sb="11" eb="13">
      <t>ブンショ</t>
    </rPh>
    <rPh sb="14" eb="16">
      <t>ジョウホウ</t>
    </rPh>
    <rPh sb="17" eb="18">
      <t>カン</t>
    </rPh>
    <rPh sb="26" eb="28">
      <t>シカク</t>
    </rPh>
    <rPh sb="28" eb="30">
      <t>カクニン</t>
    </rPh>
    <rPh sb="30" eb="31">
      <t>トウ</t>
    </rPh>
    <rPh sb="36" eb="38">
      <t>デンシ</t>
    </rPh>
    <rPh sb="41" eb="45">
      <t>ジョウホウキョウユウ</t>
    </rPh>
    <rPh sb="49" eb="50">
      <t>カン</t>
    </rPh>
    <rPh sb="51" eb="52">
      <t>ト</t>
    </rPh>
    <rPh sb="53" eb="54">
      <t>アツカ</t>
    </rPh>
    <rPh sb="55" eb="57">
      <t>カノウ</t>
    </rPh>
    <rPh sb="58" eb="60">
      <t>ニチジ</t>
    </rPh>
    <rPh sb="60" eb="62">
      <t>ジョウホウ</t>
    </rPh>
    <rPh sb="63" eb="65">
      <t>ケイシキ</t>
    </rPh>
    <rPh sb="66" eb="68">
      <t>トウイツ</t>
    </rPh>
    <phoneticPr fontId="2"/>
  </si>
  <si>
    <t>■要求事項１：オンライン資格確認システム
・機能：内部処理
・内容：「日時情報(date・datetime型要素)」について、以下の5つの形式を受け入れることを可能とする。
■要求事項２：電子カルテ情報共有サービス
・機能：アドオンチェック機能
・内容：「「日時情報(date・datetime型要素)」について、以下の5つの形式以外はエラーとする。
&lt;原則&gt;
①YYYY-MM-DD
②YYYY-MM-DDThh:mm:ss+zz:zz
③YYYY-MM-DDThh:mm:ss.SSSZ
&lt;例外&gt;
AllergyIntolerance、CondtionのonsetDateTimeのみ適用
④YYYY
⑤YYYY-MM　
■備考
JAHISへ「現在の電カルシステム等の実装状況」「形式を拡張するべきか」を調査したところ、本サービスで取り扱い可能3つのデータ形式で充足している且つ3つの型式に限定してほしいという回答をいただいた。</t>
    <phoneticPr fontId="2"/>
  </si>
  <si>
    <r>
      <t xml:space="preserve">バリデーションチェック機能
</t>
    </r>
    <r>
      <rPr>
        <sz val="10"/>
        <color rgb="FFFF0000"/>
        <rFont val="Meiryo UI"/>
        <family val="3"/>
        <charset val="128"/>
      </rPr>
      <t>【厚労省の要求】
・オンライン資格確認システム 内部処理</t>
    </r>
    <rPh sb="11" eb="13">
      <t>キノウ</t>
    </rPh>
    <phoneticPr fontId="2"/>
  </si>
  <si>
    <t>■要求事項１：オンライン資格確認システム
・機能：内部処理
・内容：「日時情報(date・datetime型要素)」について、以下の5つの形式を受け入れることを可能とする。
&lt;原則&gt;
①YYYY-MM-DD
②YYYY-MM-DDThh:mm:ss+zz:zz
③YYYY-MM-DDThh:mm:ss.SSSZ
&lt;例外&gt;
AllergyIntolerance、CondtionのonsetDateTimeのみ適用
④YYYY
⑤YYYY-MM　
■備考
JAHISへ「現在の電カルシステム等の実装状況」「形式を拡張するべきか」を調査したところ、本サービスで取り扱い可能3つのデータ形式で充足している且つ3つの型式に限定してほしいという回答をいただいた。</t>
    <phoneticPr fontId="2"/>
  </si>
  <si>
    <t>055</t>
  </si>
  <si>
    <t>055_01</t>
  </si>
  <si>
    <t>健診における「健診種別ごとの切替」対応</t>
    <rPh sb="0" eb="2">
      <t>ケンシン</t>
    </rPh>
    <phoneticPr fontId="2"/>
  </si>
  <si>
    <t>移管先：009</t>
    <rPh sb="0" eb="2">
      <t>イカン</t>
    </rPh>
    <rPh sb="2" eb="3">
      <t>サキ</t>
    </rPh>
    <phoneticPr fontId="2"/>
  </si>
  <si>
    <t>056</t>
  </si>
  <si>
    <t>056_01</t>
  </si>
  <si>
    <t>標準マスタのバージョンアップ時の”差分ファイル”の配信</t>
    <phoneticPr fontId="2"/>
  </si>
  <si>
    <t>標準マスタのバージョンアップ時の”差分ファイル”の配信</t>
  </si>
  <si>
    <t>■起票背景
医療機関等システムにおいてマスタをアップデートする際、更新されたマスタの差分内容のみを取り込む運用を行っている医療機関・ベンダがいる。標準マスタが常に、差分ではなく全量しか提供しない場合、上記のような運用を行う医療機関においては取込作業の負荷が増大する、あるいは、ベンダでの差分特定・取込の費用が増加することが想定される。
そのため、電子カルテ情報共有サービスから公開・提供される標準マスタについても更新時の都度、全量版とは別に、”差分ファイル”の提供も行った方がよいのではないかという意見が関係者の中で出た。
■目的
標準マスタのバージョンアップ時に新しいバージョンのマスタと合わせて、”差分ファイル”を提供することにより、差分内容のみの取り込み運用が可能となり、不要な費用をベンダから請求されないようにすることができる。</t>
    <rPh sb="1" eb="3">
      <t>キヒョウ</t>
    </rPh>
    <rPh sb="3" eb="5">
      <t>ハイケイ</t>
    </rPh>
    <rPh sb="264" eb="266">
      <t>モクテキモクテキマチガホケンジョウホウホゾンホケンジャケンシンレンケイ</t>
    </rPh>
    <phoneticPr fontId="2"/>
  </si>
  <si>
    <t>不要な費用をベンダから請求されないようにすることができる。</t>
    <phoneticPr fontId="2"/>
  </si>
  <si>
    <t>モデル事業における差分ファイルのニーズの調査の結果によって、案件化したい</t>
    <rPh sb="30" eb="33">
      <t>アンケンカ</t>
    </rPh>
    <phoneticPr fontId="2"/>
  </si>
  <si>
    <t>■要求事項
電子カルテ情報共有サービスにて、差分用のマスタファイルをマスタダウンロード機能でダウンロードできるようにする。また、医療機関等総合ポータルサイトにも公開する。
■備考
現在の標準マスタ各種のレイアウト上、適用開始日・終了日カラムがあるため、コードの追加・削除・変更について差分だけを容易にピックアップすることが可能なレイアウトとなっている。
上記を踏まえても、モデル事業において差分ファイルのニーズがある場合、再オープンする。</t>
    <rPh sb="1" eb="5">
      <t>ヨウキュウジコウ</t>
    </rPh>
    <rPh sb="88" eb="90">
      <t>ビコウ</t>
    </rPh>
    <phoneticPr fontId="2"/>
  </si>
  <si>
    <t>医療機関等システムに容易に取り込めるマスタを提供しないと
・医療機関等システムベンダが医療機関に対して、作業のためのという名目で不要な費用請求をしてしまうリスクがある。
・医療機関の担当者がマスタを取り込み作業を行っている場合では、差分特定・取込作業の負荷が増えてしまう。</t>
    <phoneticPr fontId="2"/>
  </si>
  <si>
    <t>■要求事項
電子カルテ情報共有サービスにて、差分用のマスタファイルをマスタダウンロード機能でダウンロードできるようにする。また、医療機関等総合ポータルサイトにも公開する。
■備考
現在の標準マスタ各種のレイアウト上、適用開始日・終了日カラムがあるため、コードの追加・削除・変更について差分だけを容易にピックアップすることが可能なレイアウトとなっている。
上記を踏まえても、モデル事業において差分ファイルのニーズがある場合、再オープンする。</t>
    <phoneticPr fontId="2"/>
  </si>
  <si>
    <t>差分用のマスタファイル</t>
    <phoneticPr fontId="2"/>
  </si>
  <si>
    <t>057</t>
  </si>
  <si>
    <t>057_01</t>
  </si>
  <si>
    <t>医薬品マスタのレイアウト変更</t>
    <phoneticPr fontId="2"/>
  </si>
  <si>
    <t>医薬品マスタへの「廃止年月日（レセ電コード）および、「廃止年月日（YJコード）」の項目追加により、チェック処理を追加</t>
    <rPh sb="0" eb="3">
      <t>イヤクヒン</t>
    </rPh>
    <rPh sb="9" eb="11">
      <t>ハイシ</t>
    </rPh>
    <rPh sb="11" eb="14">
      <t>ネンガッピ</t>
    </rPh>
    <rPh sb="17" eb="18">
      <t>デン</t>
    </rPh>
    <rPh sb="27" eb="29">
      <t>ハイシ</t>
    </rPh>
    <rPh sb="29" eb="32">
      <t>ネンガッピ</t>
    </rPh>
    <rPh sb="41" eb="43">
      <t>コウモク</t>
    </rPh>
    <rPh sb="43" eb="45">
      <t>ツイカ</t>
    </rPh>
    <rPh sb="53" eb="55">
      <t>ショリ</t>
    </rPh>
    <rPh sb="56" eb="58">
      <t>ツイカ</t>
    </rPh>
    <phoneticPr fontId="2"/>
  </si>
  <si>
    <t>&lt;前提事項&gt;​
・電カル共有では、医薬品コードについて、YJコードを採用している。一方、電子処方箋はYJコード、レセ電コード、一般名コードが利用できる。電カル共有では、医療機関等閲覧（臨床情報閲覧）において診療情報提供書に記載された処方情報を閲覧できるようになっているが、電カル共有に登録された処方情報に記載の医薬品コード（YJコード）からレセ電コードの成分名を抽出し、表示している。​
・そのため、電子処方箋で利用しているYJコード、レセ電コード、一般名コード紐づけマスタ（以下、紐づけマスタ）を利用しているが、紐づけマスタについてレイアウトの変更が発生すると電カル共有にも改修が発生する。
​
＜レイアウト変更の背景＞​
電子処方箋管理サービスでは以下の背景を踏まえ、医薬品マスタのレイアウト変更を実施することとなり、電子カルテ情報共有サービスでも同様の対応をすることとなった。
現状、電子処方箋管理サービス内の仕様として、YJコード・レセプト電算処理システムコードの有効期間・廃止時期を一体的に管理している。このため、販売終了等によりYJコードが廃止されると、YJコード・レセプト電算処理システムコードが共に使用できなくなる。その結果、レセプト電算処理システムコードまでが使用できなくなるため、その後に薬局で調剤結果登録を行う際に、ダミーコードを使用せざるを得なくなる状況が生まれる。医療機関・薬局がダミーコードを使用せざるを得ない状況を回避する観点から、レセプト電算処理システムコードがレセプト請求用の医薬品マスタ上、有効となっている間は電子処方箋管理サービス内でも有効にすることとする。
※詳細については電子処方箋推進会議資料を参照（https://www.mhlw.go.jp/content/11121000/001428602.pdf）​
​</t>
    <rPh sb="313" eb="315">
      <t>デンシ</t>
    </rPh>
    <rPh sb="315" eb="318">
      <t>ショホウセン</t>
    </rPh>
    <rPh sb="318" eb="320">
      <t>カンリ</t>
    </rPh>
    <rPh sb="326" eb="328">
      <t>イカ</t>
    </rPh>
    <rPh sb="329" eb="331">
      <t>ハイケイ</t>
    </rPh>
    <rPh sb="332" eb="333">
      <t>フ</t>
    </rPh>
    <rPh sb="336" eb="338">
      <t>イヤク</t>
    </rPh>
    <rPh sb="338" eb="339">
      <t>ヒン</t>
    </rPh>
    <rPh sb="348" eb="350">
      <t>ヘンコウ</t>
    </rPh>
    <rPh sb="351" eb="353">
      <t>ジッシ</t>
    </rPh>
    <rPh sb="361" eb="363">
      <t>デンシ</t>
    </rPh>
    <rPh sb="366" eb="368">
      <t>ジョウホウ</t>
    </rPh>
    <rPh sb="368" eb="370">
      <t>キョウユウ</t>
    </rPh>
    <rPh sb="376" eb="378">
      <t>ドウヨウ</t>
    </rPh>
    <rPh sb="379" eb="381">
      <t>タイオウ</t>
    </rPh>
    <phoneticPr fontId="2"/>
  </si>
  <si>
    <t>ダミーコードの多用（本来はYJコード利用可能となるまでの暫定処置）やダミーコードに特定の医薬品が設定されたことによる医薬品の誤表示を防止する。</t>
    <rPh sb="7" eb="9">
      <t>タヨウ</t>
    </rPh>
    <rPh sb="10" eb="12">
      <t>ホンライ</t>
    </rPh>
    <rPh sb="18" eb="22">
      <t>リヨウカノウ</t>
    </rPh>
    <rPh sb="28" eb="32">
      <t>ザンテイショチ</t>
    </rPh>
    <rPh sb="41" eb="43">
      <t>トクテイ</t>
    </rPh>
    <rPh sb="44" eb="47">
      <t>イヤクヒン</t>
    </rPh>
    <rPh sb="48" eb="50">
      <t>セッテイ</t>
    </rPh>
    <rPh sb="58" eb="61">
      <t>イヤクヒン</t>
    </rPh>
    <rPh sb="62" eb="65">
      <t>ゴヒョウジ</t>
    </rPh>
    <rPh sb="66" eb="68">
      <t>ボウシ</t>
    </rPh>
    <phoneticPr fontId="2"/>
  </si>
  <si>
    <t>医療機関等が医薬品マスタの最新版レイアウトを参照できるようにする。</t>
    <rPh sb="0" eb="4">
      <t>イリョウキカン</t>
    </rPh>
    <rPh sb="4" eb="5">
      <t>トウ</t>
    </rPh>
    <rPh sb="6" eb="9">
      <t>イヤクヒン</t>
    </rPh>
    <rPh sb="13" eb="15">
      <t>サイシン</t>
    </rPh>
    <rPh sb="15" eb="16">
      <t>バン</t>
    </rPh>
    <rPh sb="22" eb="24">
      <t>サンショウ</t>
    </rPh>
    <phoneticPr fontId="2"/>
  </si>
  <si>
    <t>医療機関等が医薬品マスタの最新レイアウトを参照できない。</t>
    <rPh sb="0" eb="2">
      <t>イリョウ</t>
    </rPh>
    <rPh sb="2" eb="4">
      <t>キカン</t>
    </rPh>
    <rPh sb="4" eb="5">
      <t>トウ</t>
    </rPh>
    <rPh sb="6" eb="9">
      <t>イヤクヒン</t>
    </rPh>
    <rPh sb="13" eb="15">
      <t>サイシン</t>
    </rPh>
    <rPh sb="21" eb="23">
      <t>サンショウ</t>
    </rPh>
    <phoneticPr fontId="2"/>
  </si>
  <si>
    <t>医薬品マスタ配信機能</t>
    <rPh sb="0" eb="3">
      <t>イヤクヒン</t>
    </rPh>
    <rPh sb="6" eb="8">
      <t>ハイシン</t>
    </rPh>
    <rPh sb="8" eb="10">
      <t>キノウ</t>
    </rPh>
    <phoneticPr fontId="2"/>
  </si>
  <si>
    <t>医薬品マスタ（「個別医薬品コード（YJコード）リスト」（CISFL006））のカラムに「YJコード終了日」と「レセ電コード終了日」の2つを追加する。</t>
    <rPh sb="0" eb="3">
      <t>イヤクヒン</t>
    </rPh>
    <rPh sb="8" eb="10">
      <t>コベツ</t>
    </rPh>
    <rPh sb="10" eb="13">
      <t>イヤクヒン</t>
    </rPh>
    <rPh sb="49" eb="51">
      <t>シュウリョウ</t>
    </rPh>
    <rPh sb="51" eb="52">
      <t>ビ</t>
    </rPh>
    <rPh sb="57" eb="58">
      <t>デン</t>
    </rPh>
    <rPh sb="61" eb="64">
      <t>シュウリョウビ</t>
    </rPh>
    <rPh sb="69" eb="71">
      <t>ツイカ</t>
    </rPh>
    <phoneticPr fontId="2"/>
  </si>
  <si>
    <t>個別医薬品コード（YJコード）リスト
（ファイル識別ID：CISFL006）</t>
    <rPh sb="0" eb="2">
      <t>コベツ</t>
    </rPh>
    <rPh sb="2" eb="5">
      <t>イヤクヒン</t>
    </rPh>
    <rPh sb="24" eb="26">
      <t>シキベツ</t>
    </rPh>
    <phoneticPr fontId="2"/>
  </si>
  <si>
    <t>058</t>
  </si>
  <si>
    <t>058_01</t>
  </si>
  <si>
    <t>利用開始日・運用開始日の使い分け</t>
  </si>
  <si>
    <t>医療機関等マスタの利用開始年月日（接検）、運用開始年月日（本番）を変更</t>
    <rPh sb="0" eb="2">
      <t>イリョウ</t>
    </rPh>
    <rPh sb="2" eb="4">
      <t>キカン</t>
    </rPh>
    <rPh sb="4" eb="5">
      <t>トウ</t>
    </rPh>
    <rPh sb="9" eb="11">
      <t>リヨウ</t>
    </rPh>
    <rPh sb="11" eb="13">
      <t>カイシ</t>
    </rPh>
    <rPh sb="13" eb="16">
      <t>ネンガッピ</t>
    </rPh>
    <rPh sb="17" eb="19">
      <t>セツケン</t>
    </rPh>
    <rPh sb="21" eb="23">
      <t>ウンヨウ</t>
    </rPh>
    <rPh sb="23" eb="25">
      <t>カイシ</t>
    </rPh>
    <rPh sb="25" eb="28">
      <t>ネンガッピ</t>
    </rPh>
    <rPh sb="29" eb="31">
      <t>ホンバン</t>
    </rPh>
    <rPh sb="33" eb="35">
      <t>ヘンコウ</t>
    </rPh>
    <phoneticPr fontId="2"/>
  </si>
  <si>
    <t xml:space="preserve">（案件042を参照のこと）
</t>
    <rPh sb="1" eb="3">
      <t>アンケン</t>
    </rPh>
    <rPh sb="7" eb="9">
      <t>サンショウ</t>
    </rPh>
    <phoneticPr fontId="2"/>
  </si>
  <si>
    <r>
      <t xml:space="preserve">令和7年7月
</t>
    </r>
    <r>
      <rPr>
        <sz val="11"/>
        <color rgb="FF8BE1FF"/>
        <rFont val="Meiryo UI"/>
        <family val="3"/>
        <charset val="128"/>
      </rPr>
      <t>→令和7年12月</t>
    </r>
    <rPh sb="0" eb="2">
      <t>レイワ</t>
    </rPh>
    <rPh sb="3" eb="4">
      <t>ネン</t>
    </rPh>
    <rPh sb="5" eb="6">
      <t>ガツ</t>
    </rPh>
    <rPh sb="8" eb="10">
      <t>レイワ</t>
    </rPh>
    <rPh sb="11" eb="12">
      <t>ネン</t>
    </rPh>
    <rPh sb="14" eb="15">
      <t>ガツ</t>
    </rPh>
    <phoneticPr fontId="2"/>
  </si>
  <si>
    <t>（案件042を参照のこと）</t>
    <rPh sb="1" eb="3">
      <t>アンケン</t>
    </rPh>
    <rPh sb="7" eb="9">
      <t>サンショウ</t>
    </rPh>
    <phoneticPr fontId="2"/>
  </si>
  <si>
    <t>060</t>
  </si>
  <si>
    <t>060_01</t>
  </si>
  <si>
    <t>マイナポ向け６情報個別PDF出力</t>
    <phoneticPr fontId="2"/>
  </si>
  <si>
    <t>マイナポ向け６情報個別のPDFを出力する</t>
    <rPh sb="4" eb="5">
      <t>ム</t>
    </rPh>
    <rPh sb="7" eb="11">
      <t>ジョウホウコベツ</t>
    </rPh>
    <rPh sb="16" eb="18">
      <t>シュツリョク</t>
    </rPh>
    <phoneticPr fontId="2"/>
  </si>
  <si>
    <t>■起票背景
現在、マイナポータルにおいて、臨床情報は６情報を一括してダウンロードする仕様となっている。一方で、就園・就学準備等でアレルギー情報のみをダウンロードしたいといった国民のニーズが考えられるため、マイナポータルにて6情報を個別のPDFで出力できるようにしたいという要望をデジタル庁より受領。
■目的
国民が、６情報を個々のユースケースで活用したいというニーズに対応することができる。</t>
    <phoneticPr fontId="2"/>
  </si>
  <si>
    <t>国民が、６情報を個々のユースケースで活用できる</t>
    <phoneticPr fontId="2"/>
  </si>
  <si>
    <t>デジタル庁：調整済み</t>
    <rPh sb="4" eb="5">
      <t>チョウ</t>
    </rPh>
    <rPh sb="6" eb="8">
      <t>チョウセイ</t>
    </rPh>
    <rPh sb="8" eb="9">
      <t>ズ</t>
    </rPh>
    <phoneticPr fontId="2"/>
  </si>
  <si>
    <t>臨床情報の閲覧（マイナポータル）</t>
    <rPh sb="0" eb="4">
      <t>リンショウジョウホウ</t>
    </rPh>
    <rPh sb="5" eb="7">
      <t>エツラン</t>
    </rPh>
    <phoneticPr fontId="2"/>
  </si>
  <si>
    <t>■要求事項
機能：マイナポータル向け帳票出力機能
内容：マイナポータルでの操作に応じて、６情報個別の帳票を生成し、マイナポータルに連携する。
■備考
臨床情報一覧と項目内容は同じものとする。
I/Fは、既存の臨床情報閲覧のI/Fに要求区分をつける形で対応するか、臨床情報閲覧のI/Fとは別に６情報それぞれで個別のI/Fを構築するかは、開発側で要検討。
一括DLは引き続き利用できる</t>
    <phoneticPr fontId="2"/>
  </si>
  <si>
    <t>アレルギー情報だけを、保育園や学校等に帳票として提出したいといった場合に、他の臨床情報がついた状態だと、余計な内容まで共有されることになってしまう。</t>
    <phoneticPr fontId="2"/>
  </si>
  <si>
    <t>マイナポータル向け帳票出力機能</t>
    <phoneticPr fontId="2"/>
  </si>
  <si>
    <t>マイナポータルでの操作に応じて、６情報個別の帳票を生成し、マイナポータルに連携する。
■備考
臨床情報一覧と項目内容は同じものとする。
I/Fは、既存の臨床情報閲覧のI/Fに要求区分をつける形で対応するか、臨床情報閲覧のI/Fとは別に６情報それぞれで個別のI/Fを構築するかは、開発側で要検討。</t>
  </si>
  <si>
    <t>ac</t>
    <phoneticPr fontId="2"/>
  </si>
  <si>
    <r>
      <t xml:space="preserve">リリース時期は3月になる。(調達は12月リリース案件併せて実施予定)
</t>
    </r>
    <r>
      <rPr>
        <sz val="10"/>
        <color rgb="FFFF0000"/>
        <rFont val="Meiryo UI"/>
        <family val="3"/>
        <charset val="128"/>
      </rPr>
      <t>→認識相違なし</t>
    </r>
    <rPh sb="4" eb="6">
      <t>ジキ</t>
    </rPh>
    <rPh sb="8" eb="9">
      <t>ガツ</t>
    </rPh>
    <rPh sb="14" eb="16">
      <t>チョウタツ</t>
    </rPh>
    <rPh sb="19" eb="20">
      <t>ガツ</t>
    </rPh>
    <rPh sb="24" eb="26">
      <t>アンケン</t>
    </rPh>
    <rPh sb="26" eb="27">
      <t>アワ</t>
    </rPh>
    <rPh sb="29" eb="31">
      <t>ジッシ</t>
    </rPh>
    <rPh sb="31" eb="33">
      <t>ヨテイ</t>
    </rPh>
    <phoneticPr fontId="37"/>
  </si>
  <si>
    <t>061</t>
  </si>
  <si>
    <t>061_01</t>
  </si>
  <si>
    <t>PHR事業者向けのマイナポAPI(XML)</t>
    <phoneticPr fontId="2"/>
  </si>
  <si>
    <t>PHR事業者向けのマイナポAPI(XML)を新規構築する</t>
    <rPh sb="3" eb="7">
      <t>ジギョウシャム</t>
    </rPh>
    <rPh sb="22" eb="26">
      <t>シンキコウチク</t>
    </rPh>
    <phoneticPr fontId="2"/>
  </si>
  <si>
    <t>■起票背景
これまでの特定健診、診療・薬剤情報等と同様に、電子カルテ情報共有サービスからマイナポータルに提供している情報を、医療保険情報取得APIを通じて、PHR事業者等にデータ連携できる仕組みを実装することが厚労省・デジタル庁・支払基金の中で合意できたため起票。
■目的
PHR事業者が患者の臨床情報・患者サマリー・健診情報を活用することで、利用者に対してより幅広いサービス提供を実現できるようになる。</t>
  </si>
  <si>
    <t>デジタル庁：調整中</t>
    <rPh sb="4" eb="5">
      <t>チョウ</t>
    </rPh>
    <rPh sb="8" eb="9">
      <t>チュウ</t>
    </rPh>
    <phoneticPr fontId="2"/>
  </si>
  <si>
    <t>■要求事項
機能：マイナポータル連携機能
内容：PHR事業者向けのマイナポータルAPI用のXMLレイアウト(臨床情報、患者サマリー、健診情報)を作成し、マイナポータルと連携するためのI/Fを追加する。
■備考
PHR事業者に提供できる項目は、原則マイナポータルで患者が閲覧できる内容に限定する。</t>
    <phoneticPr fontId="2"/>
  </si>
  <si>
    <t>PHR事業者が、電子カルテ情報共有サービスの臨床情報、患者サマリー、健診情報を利活用したサービス提供ができない。</t>
    <phoneticPr fontId="2"/>
  </si>
  <si>
    <t>マイナポータル連携機能</t>
    <rPh sb="7" eb="9">
      <t>レンケイ</t>
    </rPh>
    <rPh sb="9" eb="11">
      <t>キノウ</t>
    </rPh>
    <phoneticPr fontId="2"/>
  </si>
  <si>
    <t>PHR事業者向けのマイナポータルAPI用のXMLレイアウト(臨床情報、患者サマリー、健診情報)を作成し、マイナポータルと連携するためのI/Fを追加する。
■備考
PHR事業者に提供できる項目は、原則マイナポータルで患者が閲覧できる内容に限定する。</t>
    <phoneticPr fontId="2"/>
  </si>
  <si>
    <t>PHR事業者向けマイナポータルAPIのXMLレイアウト</t>
    <rPh sb="3" eb="6">
      <t>ジギョウシャ</t>
    </rPh>
    <rPh sb="6" eb="7">
      <t>ム</t>
    </rPh>
    <phoneticPr fontId="2"/>
  </si>
  <si>
    <t>062</t>
  </si>
  <si>
    <t>062_01</t>
  </si>
  <si>
    <t>電子カルテ情報共有サービス対応の医療機関リスト作成</t>
    <rPh sb="23" eb="25">
      <t>サクセイ</t>
    </rPh>
    <phoneticPr fontId="2"/>
  </si>
  <si>
    <t>取り下げ理由：開発不要のため</t>
    <rPh sb="0" eb="1">
      <t>ト</t>
    </rPh>
    <rPh sb="2" eb="3">
      <t>サ</t>
    </rPh>
    <rPh sb="4" eb="6">
      <t>リユウ</t>
    </rPh>
    <rPh sb="7" eb="9">
      <t>カイハツ</t>
    </rPh>
    <rPh sb="9" eb="11">
      <t>フヨウ</t>
    </rPh>
    <phoneticPr fontId="2"/>
  </si>
  <si>
    <t>063</t>
  </si>
  <si>
    <t>063_01</t>
  </si>
  <si>
    <t>マイナンバーカードの健康保険証利用対応の医療機関・薬局リストへの電カル共有対応医療機関カラム追加</t>
    <rPh sb="32" eb="33">
      <t>デン</t>
    </rPh>
    <rPh sb="35" eb="37">
      <t>キョウユウ</t>
    </rPh>
    <rPh sb="37" eb="39">
      <t>タイオウ</t>
    </rPh>
    <rPh sb="39" eb="41">
      <t>イリョウ</t>
    </rPh>
    <rPh sb="41" eb="43">
      <t>キカン</t>
    </rPh>
    <rPh sb="46" eb="48">
      <t>ツイカ</t>
    </rPh>
    <phoneticPr fontId="2"/>
  </si>
  <si>
    <t>064</t>
  </si>
  <si>
    <t>064_01</t>
  </si>
  <si>
    <t>マイナ在宅Web、マイナ資格確認アプリへの臨床情報閲覧同意画面追加</t>
    <rPh sb="0" eb="2">
      <t>アンケン</t>
    </rPh>
    <phoneticPr fontId="3"/>
  </si>
  <si>
    <t xml:space="preserve">マイナ在宅受付Web、マイナ資格確認アプリを使った、訪問診療、オンライン診療に関する臨床情報の同意登録機能を追加改修する
※「R7年度の電子カルテ情報共有サービス開発プラン_20250312」では#54であったが、項番の重複のため、本台帳では064を採番している
</t>
    <rPh sb="5" eb="7">
      <t>ウケツケ</t>
    </rPh>
    <phoneticPr fontId="2"/>
  </si>
  <si>
    <t>■起票背景
マイナ在宅受付Web、マイナ資格確認アプリでは、訪問先の患者宅においてモバイル端末等（スマートフォン・タブレット・PC等）を用いて、薬剤情報、診療情報、特定健診情報の提供に関する同意を患者から取得する機能を有している。一方、現行のマイナ在宅Web、マイナ資格確認アプリの医療情報閲覧同意登録機能では、電子カルテ情報共有サービスが提供する臨床情報閲覧に対応していない。
■目的
訪問診療やオンライン診療でも、臨床情報閲覧できるようにする。</t>
  </si>
  <si>
    <t>訪問診療やオンライン診療においても、臨床情報の閲覧ができるようになる。</t>
    <phoneticPr fontId="2"/>
  </si>
  <si>
    <t>保険局：調整済み</t>
    <rPh sb="0" eb="3">
      <t>ホケンキョク</t>
    </rPh>
    <rPh sb="4" eb="6">
      <t>チョウセイ</t>
    </rPh>
    <rPh sb="6" eb="7">
      <t>ズ</t>
    </rPh>
    <phoneticPr fontId="2"/>
  </si>
  <si>
    <t>臨床情報の閲覧（覧事前同意）</t>
    <rPh sb="0" eb="4">
      <t>リンショウジョウホウ</t>
    </rPh>
    <rPh sb="5" eb="7">
      <t>エツラン</t>
    </rPh>
    <rPh sb="8" eb="9">
      <t>ラン</t>
    </rPh>
    <rPh sb="9" eb="11">
      <t>ジゼン</t>
    </rPh>
    <rPh sb="11" eb="13">
      <t>ドウイ</t>
    </rPh>
    <phoneticPr fontId="3"/>
  </si>
  <si>
    <t>■１：マイナ在宅受付Web
・機能：医療情報閲覧同意機能
・内容：電子カルテ情報共有サービスを利用している医療機関には、現行の顔CRやマイナポータル同様に、臨床情報の同意操作画面を表示する（動的制御）。その上で同意情報をオンライン資格確認システムに送信する。
■備考
・どの施設で電子カルテ情報共有サービス経由の情報を見せるかの整理が必要
・保険局と調整が必要</t>
    <phoneticPr fontId="2"/>
  </si>
  <si>
    <t>電子カルテ情報共有サービスの利用を行っている医療機関でも、訪問診療やオンライン診療では、患者から同意取得ができないため、臨床情報の閲覧ができない。</t>
    <phoneticPr fontId="2"/>
  </si>
  <si>
    <t>医療情報閲覧同意機能</t>
    <phoneticPr fontId="2"/>
  </si>
  <si>
    <t>■要求事項：マイナ在宅受付Web
・内容：電子カルテ情報共有サービスを利用している医療機関には、現行の顔CRやマイナポータル同様に、臨床情報の同意操作画面を表示する（動的制御）。その上で同意情報をオンライン資格確認システムに送信する。
■備考
・どの施設で電子カルテ情報共有サービス経由の情報を見せるかの整理が必要
・保険局と調整が必要</t>
    <rPh sb="11" eb="13">
      <t>ウケツケ</t>
    </rPh>
    <phoneticPr fontId="2"/>
  </si>
  <si>
    <t>・マイナ在宅受付Web・マイナ資格確認アプリのレイアウト
・外部IFのXMLレイアウト(項目追加)</t>
    <rPh sb="4" eb="6">
      <t>ザイタク</t>
    </rPh>
    <rPh sb="6" eb="8">
      <t>ウケツケ</t>
    </rPh>
    <rPh sb="15" eb="17">
      <t>シカク</t>
    </rPh>
    <rPh sb="17" eb="19">
      <t>カクニン</t>
    </rPh>
    <rPh sb="30" eb="32">
      <t>ガイブ</t>
    </rPh>
    <rPh sb="44" eb="46">
      <t>コウモク</t>
    </rPh>
    <rPh sb="46" eb="48">
      <t>ツイカ</t>
    </rPh>
    <phoneticPr fontId="2"/>
  </si>
  <si>
    <r>
      <t xml:space="preserve">保険局との調整状況を確認したい。
</t>
    </r>
    <r>
      <rPr>
        <sz val="10"/>
        <color rgb="FFFF0000"/>
        <rFont val="Meiryo UI"/>
        <family val="3"/>
        <charset val="128"/>
      </rPr>
      <t>→頭出しは実施済</t>
    </r>
    <r>
      <rPr>
        <sz val="10"/>
        <rFont val="Meiryo UI"/>
        <family val="3"/>
        <charset val="128"/>
      </rPr>
      <t xml:space="preserve">
テスト期間確保のため3月リリースとさせていただきたい。(調達は12月リリース案件併せて実施予定)
</t>
    </r>
    <r>
      <rPr>
        <sz val="10"/>
        <color rgb="FFFF0000"/>
        <rFont val="Meiryo UI"/>
        <family val="3"/>
        <charset val="128"/>
      </rPr>
      <t>→回答保留　★ToDo(厚労)</t>
    </r>
    <rPh sb="0" eb="3">
      <t>ホケンキョク</t>
    </rPh>
    <rPh sb="5" eb="7">
      <t>チョウセイ</t>
    </rPh>
    <rPh sb="7" eb="9">
      <t>ジョウキョウ</t>
    </rPh>
    <rPh sb="10" eb="12">
      <t>カクニン</t>
    </rPh>
    <rPh sb="18" eb="20">
      <t>アタマダ</t>
    </rPh>
    <rPh sb="22" eb="24">
      <t>ジッシ</t>
    </rPh>
    <rPh sb="24" eb="25">
      <t>スミ</t>
    </rPh>
    <rPh sb="30" eb="32">
      <t>キカン</t>
    </rPh>
    <rPh sb="32" eb="34">
      <t>カクホ</t>
    </rPh>
    <rPh sb="38" eb="39">
      <t>ガツ</t>
    </rPh>
    <rPh sb="77" eb="79">
      <t>カイトウ</t>
    </rPh>
    <rPh sb="79" eb="81">
      <t>ホリュウ</t>
    </rPh>
    <rPh sb="88" eb="90">
      <t>コウロウ</t>
    </rPh>
    <phoneticPr fontId="2"/>
  </si>
  <si>
    <t>064_02</t>
  </si>
  <si>
    <t>マイナ在宅Web、マイナ資格確認アプリへの臨床情報閲覧同意画面追加</t>
    <rPh sb="21" eb="29">
      <t>リンショウジョウホウエツランドウイ</t>
    </rPh>
    <rPh sb="29" eb="33">
      <t>ガメンツイカ</t>
    </rPh>
    <phoneticPr fontId="3"/>
  </si>
  <si>
    <t>■起票背景
マイナ在宅受付Web、マイナ資格確認アプリでは、訪問先の患者宅においてモバイル端末等（スマートフォン・タブレット・PC等）を用いて、薬剤情報、診療情報、特定健診情報の提供に関する同意を患者から取得する機能を有している。一方、現行のマイナ在宅Web、マイナ資格確認アプリの医療情報閲覧同意登録機能では、電子カルテ情報共有サービスが提供する臨床情報閲覧に対応していない。■目的
訪問診療やオンライン診療でも、臨床情報閲覧できるようにする。</t>
    <rPh sb="11" eb="13">
      <t>ウケツケ</t>
    </rPh>
    <phoneticPr fontId="2"/>
  </si>
  <si>
    <t>■２：マイナ資格確認アプリ
・機能：医療情報閲覧同意機能
・内容：電子カルテ情報共有サービスを利用している医療機関には、現行の顔CRやマイナポータル同様に、臨床情報の同意操作画面を表示する（動的制御）。その上で同意情報をオンライン資格確認システムに送信する。
■備考
・どの施設で電子カルテ情報共有サービス経由の情報を見せるかの整理が必要
・保険局と調整が必要</t>
    <phoneticPr fontId="2"/>
  </si>
  <si>
    <t>■要求事項２：マイナ資格確認アプリ
・内容：電子カルテ情報共有サービスを利用している医療機関には、現行の顔CRやマイナポータル同様に、臨床情報の同意操作画面を表示する（動的制御）。その上で同意情報をオンライン資格確認システムに送信する。
■備考
・どの施設で電子カルテ情報共有サービス経由の情報を見せるかの整理が必要
・保険局と調整が必要</t>
    <phoneticPr fontId="2"/>
  </si>
  <si>
    <t>065</t>
  </si>
  <si>
    <t>065_01</t>
  </si>
  <si>
    <t>健診情報をFHIRからCDAに変換時する際の受診者氏名の半角空白の削除処理</t>
    <rPh sb="2" eb="4">
      <t>ジョウホウ</t>
    </rPh>
    <rPh sb="15" eb="17">
      <t>ヘンカン</t>
    </rPh>
    <rPh sb="17" eb="18">
      <t>ジ</t>
    </rPh>
    <rPh sb="20" eb="21">
      <t>サイ</t>
    </rPh>
    <rPh sb="22" eb="24">
      <t>ジュシン</t>
    </rPh>
    <rPh sb="24" eb="25">
      <t>シャ</t>
    </rPh>
    <rPh sb="25" eb="27">
      <t>シメイ</t>
    </rPh>
    <rPh sb="28" eb="32">
      <t>ハンカククウハク</t>
    </rPh>
    <rPh sb="33" eb="37">
      <t>サクジョショリ</t>
    </rPh>
    <phoneticPr fontId="3"/>
  </si>
  <si>
    <t>健診結果報告書の受診者氏名について、FHIR仕様では姓と名の区切りに半角空白が許容されているが、CDAでは空白が許容されていない(事務点検チェックでエラーとなってしまう)ため、半角空白を除去する。</t>
    <rPh sb="53" eb="55">
      <t>クウハク</t>
    </rPh>
    <rPh sb="56" eb="58">
      <t>キョヨウ</t>
    </rPh>
    <phoneticPr fontId="2"/>
  </si>
  <si>
    <t>■起票背景
健診受診者の氏名の記録方法について、CDAの定義では姓と名の区切りに空白を許容していない。
一方、 FHIR記述仕様では姓と名の区切りに半角空白の設定を規定している。
また、大江先生より、JP-COREの仕様として、姓と名を空白無しで記述することは不可である旨の回答を受領している。
■目的
FHIR規格でデータ登録でき、且つCDA規格で医療保険者にデータ連携できるようにする。</t>
    <phoneticPr fontId="2"/>
  </si>
  <si>
    <t>大江先生：済(アドオンで対応する旨を調整)</t>
    <rPh sb="0" eb="4">
      <t>オオエセンセイ</t>
    </rPh>
    <rPh sb="5" eb="6">
      <t>スミ</t>
    </rPh>
    <rPh sb="12" eb="14">
      <t>タイオウ</t>
    </rPh>
    <rPh sb="16" eb="17">
      <t>ムネ</t>
    </rPh>
    <rPh sb="18" eb="20">
      <t>チョウセイ</t>
    </rPh>
    <phoneticPr fontId="2"/>
  </si>
  <si>
    <t>健診文書の閲覧（保険者）</t>
    <rPh sb="0" eb="2">
      <t>ケンシン</t>
    </rPh>
    <rPh sb="2" eb="4">
      <t>ブンショ</t>
    </rPh>
    <rPh sb="5" eb="7">
      <t>エツラン</t>
    </rPh>
    <rPh sb="8" eb="10">
      <t>ホケン</t>
    </rPh>
    <rPh sb="10" eb="11">
      <t>シャ</t>
    </rPh>
    <phoneticPr fontId="2"/>
  </si>
  <si>
    <t>■要求事項１
・機能：アドオンチェック機能
・内容：健診受診者氏名(patient.name.text)について姓と名の区切りに半角空白が入っていても許容するようにチェック仕様を修正する。
※該当するアドオンチェック仕様
「氏名が全角カナ以外の場合、エラーとする。」</t>
    <phoneticPr fontId="2"/>
  </si>
  <si>
    <t>姓と名の区切りに空白を入れたままデータ登録すると、事務点検相当のアドオンチェックでエラーとなってしまう。
さらに医療保険者システム側は、CDA規格に則り、姓と名の区切りに空白を許容しない形でないとデータ取得ができない。</t>
    <phoneticPr fontId="2"/>
  </si>
  <si>
    <t>■要求事項１
・機能：アドオンチェック機能
・内容：姓と名の区切りに半角空白が入っていても許容するようにチェック仕様を修正する。
※該当するアドオンチェック仕様
「氏名が全角カナ以外の場合、エラーとする。」</t>
    <phoneticPr fontId="2"/>
  </si>
  <si>
    <t>065_02</t>
  </si>
  <si>
    <t>大江先生：済(アドオンで対応する旨を調整)</t>
    <phoneticPr fontId="2"/>
  </si>
  <si>
    <t>■要求事項２
・機能：健診情報登録受付機能
・内容：健診受診者氏名(patient.name.text)について、半角空白を除去処理した上で、CDA変換を行う。</t>
    <phoneticPr fontId="2"/>
  </si>
  <si>
    <t>健診情報登録受付機能</t>
    <rPh sb="0" eb="2">
      <t>ケンシン</t>
    </rPh>
    <rPh sb="2" eb="4">
      <t>ジョウホウ</t>
    </rPh>
    <rPh sb="4" eb="6">
      <t>トウロク</t>
    </rPh>
    <rPh sb="6" eb="8">
      <t>ウケツケ</t>
    </rPh>
    <rPh sb="8" eb="10">
      <t>キノウ</t>
    </rPh>
    <phoneticPr fontId="2"/>
  </si>
  <si>
    <t>066</t>
  </si>
  <si>
    <t>066_01</t>
  </si>
  <si>
    <t>傷病名の転帰区分（unknown）に関するアドオンチェックの変更</t>
    <phoneticPr fontId="2"/>
  </si>
  <si>
    <t xml:space="preserve">傷病名の転帰区分についてのアドオンチェックの内容を「臨床的状態（clinicalStatus）が、active（存続）またはunknown（不明）を記録する際に、病名最終日（abatementDateTime）が記載されていればエラーとする」に変更する。
</t>
    <rPh sb="22" eb="24">
      <t>ナイヨウ</t>
    </rPh>
    <rPh sb="74" eb="76">
      <t>キロク</t>
    </rPh>
    <rPh sb="78" eb="79">
      <t>サイ</t>
    </rPh>
    <rPh sb="122" eb="124">
      <t>ヘンコウ</t>
    </rPh>
    <phoneticPr fontId="2"/>
  </si>
  <si>
    <t>Condition.clinicalStatus.coding.code が“unknown”の場合、
実装ガイドではCondition.abatementDateTimeを記録するとエラーとする仕様となっているが、アドオンチェックでは、Condition.abatementDateTimeが記録されていない場合にエラーとする仕様となっており、整合性が取れていない。
そのため、現在の仕様を実装ガイドに合わせる必要がある。
※ “unknown”を記録する際に、 Condition.abatementDateTimeが記録されていない場合に正常登録できるよう記録条件仕様書を更新予定。</t>
    <rPh sb="164" eb="166">
      <t>シヨウ</t>
    </rPh>
    <rPh sb="173" eb="176">
      <t>セイゴウセイ</t>
    </rPh>
    <rPh sb="177" eb="178">
      <t>ト</t>
    </rPh>
    <phoneticPr fontId="2"/>
  </si>
  <si>
    <t>5/8厚労省より要件に対する疑義予定</t>
    <rPh sb="3" eb="6">
      <t>コウロウショウ</t>
    </rPh>
    <rPh sb="8" eb="10">
      <t>ヨウケン</t>
    </rPh>
    <rPh sb="11" eb="12">
      <t>タイ</t>
    </rPh>
    <rPh sb="14" eb="16">
      <t>ギギ</t>
    </rPh>
    <rPh sb="16" eb="18">
      <t>ヨテイ</t>
    </rPh>
    <phoneticPr fontId="2"/>
  </si>
  <si>
    <t>医療機関が傷病名情報を登録する際、傷病名の転記区分が「unknown」の場合に関するチェックを下記の通りにする。
①転帰日の記載がある場合にはエラーとする。
②転帰日の記載がない場合にはエラーとしない。</t>
    <rPh sb="1" eb="3">
      <t>イリョウ</t>
    </rPh>
    <rPh sb="3" eb="5">
      <t>キカン</t>
    </rPh>
    <rPh sb="6" eb="8">
      <t>ブンショ</t>
    </rPh>
    <rPh sb="8" eb="10">
      <t>ジョウホウ</t>
    </rPh>
    <rPh sb="11" eb="13">
      <t>トウロク</t>
    </rPh>
    <rPh sb="15" eb="16">
      <t>サイ</t>
    </rPh>
    <rPh sb="47" eb="49">
      <t>カキ</t>
    </rPh>
    <rPh sb="50" eb="51">
      <t>トオ</t>
    </rPh>
    <rPh sb="67" eb="69">
      <t>ジュンキョ</t>
    </rPh>
    <phoneticPr fontId="2"/>
  </si>
  <si>
    <t>傷病名の転記区分が「unknown」の場合に関して
①転帰日の記載がある場合にはエラーとならない。
②転帰日の記載がない場合にはエラーとなる。</t>
    <rPh sb="0" eb="3">
      <t>ショウビョウメイ</t>
    </rPh>
    <rPh sb="4" eb="8">
      <t>テンキクブン</t>
    </rPh>
    <rPh sb="19" eb="21">
      <t>バアイ</t>
    </rPh>
    <rPh sb="22" eb="23">
      <t>カン</t>
    </rPh>
    <rPh sb="27" eb="29">
      <t>テンキ</t>
    </rPh>
    <rPh sb="31" eb="33">
      <t>キサイ</t>
    </rPh>
    <phoneticPr fontId="2"/>
  </si>
  <si>
    <t>バリデーションチェック（臨床情報）</t>
    <rPh sb="12" eb="14">
      <t>リンショウ</t>
    </rPh>
    <rPh sb="14" eb="16">
      <t>ジョウホウ</t>
    </rPh>
    <phoneticPr fontId="2"/>
  </si>
  <si>
    <t>傷病名の転記区分（Condition.clinicalStatus.coding.code）が「unknown」の場合に関して、チェック処理を下記の通りにする。
①転帰日（Condition.abatementDateTime）の記載がある場合には、エラーとする。
②転帰日（Condition.abatementDateTime）の記載がない場合には、エラーとしない。</t>
    <rPh sb="68" eb="70">
      <t>ショリ</t>
    </rPh>
    <rPh sb="71" eb="73">
      <t>カキ</t>
    </rPh>
    <rPh sb="74" eb="75">
      <t>トオ</t>
    </rPh>
    <phoneticPr fontId="2"/>
  </si>
  <si>
    <t>067</t>
  </si>
  <si>
    <t>067_01</t>
  </si>
  <si>
    <t>MedicationRequestのcontained （JP_Encounter）に関するアドオンチェックの変更</t>
  </si>
  <si>
    <t>MedicationRequestにおけるcontainリソースとして「JP_Encounter」だけでなく、「JP_Encounter_eCS」も参照できるようにする。</t>
    <phoneticPr fontId="2"/>
  </si>
  <si>
    <t>現状、「 MedicationRequestのcontained （JP_Encounter）は JP_Encounterに準拠したリソースのみ記録可能。JP_Encounter_eCSに準拠したリソースはエラー」というアドオンチェック（No.132）を実装している。
ONS問い合わせを起因に、 「MedicationRequestのcontained （JP_Encounter）は、「JP_Encounter」または、「JP_Encounter_eCS」のいずれかに準拠したリソースを記録可能」が正しいとわかったため、アドオンチェックルール（No.132）を変更する必要がある。</t>
    <phoneticPr fontId="2"/>
  </si>
  <si>
    <t>大江先生：済</t>
    <rPh sb="0" eb="4">
      <t>オオエセンセイ</t>
    </rPh>
    <rPh sb="5" eb="6">
      <t>スミ</t>
    </rPh>
    <phoneticPr fontId="2"/>
  </si>
  <si>
    <t>医療機関が2文書6情報を登録する際、処方依頼情報（MedicationRequest）のcontainedリソースが「JP_Encounter」または「JP_Encounter_eCS」に準拠していれば登録可能とする。</t>
    <rPh sb="0" eb="2">
      <t>イリョウ</t>
    </rPh>
    <rPh sb="2" eb="4">
      <t>キカン</t>
    </rPh>
    <rPh sb="6" eb="8">
      <t>ブンショ</t>
    </rPh>
    <rPh sb="9" eb="11">
      <t>ジョウホウ</t>
    </rPh>
    <rPh sb="12" eb="14">
      <t>トウロク</t>
    </rPh>
    <rPh sb="16" eb="17">
      <t>サイ</t>
    </rPh>
    <rPh sb="18" eb="20">
      <t>ショホウ</t>
    </rPh>
    <rPh sb="20" eb="22">
      <t>イライ</t>
    </rPh>
    <rPh sb="22" eb="24">
      <t>ジョウホウ</t>
    </rPh>
    <rPh sb="94" eb="96">
      <t>ジュンキョ</t>
    </rPh>
    <rPh sb="101" eb="103">
      <t>トウロク</t>
    </rPh>
    <rPh sb="103" eb="105">
      <t>カノウ</t>
    </rPh>
    <phoneticPr fontId="2"/>
  </si>
  <si>
    <t>処方依頼情報（MedicationRequest）のcontainedリソースは「JP_Encounter」に準拠している場合のみ登録できる。</t>
    <rPh sb="55" eb="57">
      <t>ジュンキョ</t>
    </rPh>
    <rPh sb="61" eb="63">
      <t>バアイ</t>
    </rPh>
    <rPh sb="65" eb="67">
      <t>トウロク</t>
    </rPh>
    <phoneticPr fontId="2"/>
  </si>
  <si>
    <t>臨床情報連携機能</t>
    <rPh sb="0" eb="4">
      <t>リンショウジョウホウ</t>
    </rPh>
    <rPh sb="4" eb="8">
      <t>レンケイキノウ</t>
    </rPh>
    <phoneticPr fontId="2"/>
  </si>
  <si>
    <t>電カル共有サービスのアドオンチェック（No.116）に関して、「MedicationRequestのcontained （JP_Encounter）は「JP_Encounter」または「JP_Encounter_eCS」のいずれかに準拠したリソースを記録可能」にする。</t>
    <rPh sb="0" eb="1">
      <t>デン</t>
    </rPh>
    <rPh sb="3" eb="5">
      <t>キョウユウ</t>
    </rPh>
    <rPh sb="27" eb="28">
      <t>カン</t>
    </rPh>
    <phoneticPr fontId="2"/>
  </si>
  <si>
    <t>2025/9/19
※リリース時期変更</t>
    <rPh sb="15" eb="17">
      <t>ジキ</t>
    </rPh>
    <rPh sb="17" eb="19">
      <t>ヘンコウ</t>
    </rPh>
    <phoneticPr fontId="2"/>
  </si>
  <si>
    <t>068</t>
    <phoneticPr fontId="2"/>
  </si>
  <si>
    <t>068_01</t>
  </si>
  <si>
    <t>複数のmeta.profileバージョンが混在している場合のバリデーションチェック</t>
    <rPh sb="0" eb="2">
      <t>フクスウ</t>
    </rPh>
    <rPh sb="21" eb="23">
      <t>コンザイ</t>
    </rPh>
    <rPh sb="27" eb="29">
      <t>バアイ</t>
    </rPh>
    <phoneticPr fontId="3"/>
  </si>
  <si>
    <t>Bundleリソースに内包されるBundleリソース(退院時サマリ)及びその他リソースのmeta.profileにバージョン情報を記載した際、一部組み合わせで問題のあるバリデーションチェック結果を出力するため改修する。</t>
    <phoneticPr fontId="2"/>
  </si>
  <si>
    <t>■起票背景
Bundleリソースのmeta.profileに記載されたバージョン情報と、Bundleリソースに内包されるBundleリソース及びその他リソースのmeta.profileにバージョン情報が不一致の場合、一部組み合わせで問題のある動作が発生。</t>
    <phoneticPr fontId="2"/>
  </si>
  <si>
    <t>JAHIS：確認済</t>
    <rPh sb="6" eb="8">
      <t>カクニン</t>
    </rPh>
    <rPh sb="8" eb="9">
      <t>ズミ</t>
    </rPh>
    <phoneticPr fontId="2"/>
  </si>
  <si>
    <t>■対応方針
Bundleリソースに内包されるBundleリソース(退院時サマリ)及びその他リソースのmeta.profileにバージョン情報を記載した際、一部組み合わせで問題のあるバリデーションチェック結果を出力するため改修する。</t>
    <phoneticPr fontId="2"/>
  </si>
  <si>
    <t>ベースチェック機能
アドオンチェック機能</t>
    <phoneticPr fontId="2"/>
  </si>
  <si>
    <t xml:space="preserve">１．Bundleリソース（診療情報提供書、健診結果報告書、患者サマリ、退院時サマリ*1）に含まれるリソースのバージョン不一致が検出された場合にエラーとする。
２．ただし内包Budleリソース（診療情報提供書に対する退院時サマリBudle）のバージョン不一致検出はワーニングとする。
３．内包Budleリソースのバージョン不一致を検出した場合、内包Budleリソースを抜き出し改めて単独のBundleリソースとしてバリデーションチェックを行う。
４．外側Bundleと内包Bundleのバージョン不一致を検出した場合は参照整合性チェックをアドオンチェックで実施する*2。
*1 ３の単独リソースチェックの条件に合致した場合を想定。
*2 外側Bundleと内包Bundleのバージョン不一致を検出した場合に実行する参照整合性アドオンチェックについてはコアライブラリのバリデータを解析し同等のチェックを行う想定。
</t>
    <phoneticPr fontId="2"/>
  </si>
  <si>
    <t>069</t>
  </si>
  <si>
    <t>069_01</t>
  </si>
  <si>
    <t>■起票背景
バリデーションチェック検証ツールのソースコードの公開を行うことで、医療機関等システムベンダ側が基金提供のバリデーションチェック検証ツールにさらなるアレンジを加えて、自社環境で開発に利用することができるということから、本件が起票された。
なお、本件はR6年度に基金で実施予定であったが、バリデーションチェック検証ツール自体の開発・公開が後ろ倒しになった影響を受けてR6年度の実施に至らなかった。
年度が替わって改めて実施可否を厚労省で判断いただきたい旨、基金より受領している。
■目的
医療機関等システムベンダ側が基金提供のバリデーションチェック検証ツールの内容を把握した上で、さらなるアレンジを加えて、自社独自のバリデーションチェックツールの開発ができるようにすること。</t>
    <phoneticPr fontId="2"/>
  </si>
  <si>
    <t xml:space="preserve"> </t>
    <phoneticPr fontId="2"/>
  </si>
  <si>
    <t>・基金提供のバリデーションチェック検証ツールのソースコードをONSサイトもしくはGitHub等に公開する。
・電子カルテ情報共有サービスにおけるGithub利用は、プライベートリポジトリにソースコードを限定公開する。
・公開後、医療機関等ベンダ（Github利用者）からのIssueの提示や、 バリデータの改修があった場合は、新バージョンをプロファイルの更新の都度公開する。</t>
  </si>
  <si>
    <t>基金提供のバリデーションチェック検証ツールは、テストにのみ使用することを想定としており、実運用での使用は対象外としている。そのため、実運用時にも医療機関等システム側でバリデーションチェックを行う場合には、医療機関等システムベンダ独自でバリデーションチェックツールを開発してもらう必要がある。</t>
    <phoneticPr fontId="2"/>
  </si>
  <si>
    <t>・基金提供のバリデーションチェック検証ツールのソースコードをONSサイトもしくはGitHub等に公開する。
・電子カルテ情報共有サービスにおけるGithub利用は、プライベートリポジトリにソースコードを限定公開する。
・公開後、医療機関等ベンダ（Github利用者）からのIssueの提示や、 バリデータの改修があった場合は、新バージョンをプロファイルの更新の都度公開する。</t>
    <phoneticPr fontId="2"/>
  </si>
  <si>
    <t>ソースコードの公開レイアウト</t>
    <rPh sb="7" eb="9">
      <t>コウカイ</t>
    </rPh>
    <phoneticPr fontId="2"/>
  </si>
  <si>
    <t>2025/9/12
※リリース時期変更</t>
    <rPh sb="15" eb="17">
      <t>ジキ</t>
    </rPh>
    <rPh sb="17" eb="19">
      <t>ヘンコウ</t>
    </rPh>
    <phoneticPr fontId="2"/>
  </si>
  <si>
    <t>■起票背景
関連ID10の「被保番の振替処理（古い被保番対応）」をオン資で実施するためには、省令で実施根拠を整理する必要があるため、それまでの間は、医療機関等での「古い被保番」を用いた健診結果報告書の登録を制限する運用としている。
上記の運用にするため、現在暫定的にアドオンチェック(健診実施日時点における古い被保番が記録されている場合エラーとするチェック)を実装している。
■目的
「被保番の振替処理（古い被保番対応）」の恒久対応の実現</t>
    <phoneticPr fontId="2"/>
  </si>
  <si>
    <r>
      <t xml:space="preserve">（案件010を参照のこと）
</t>
    </r>
    <r>
      <rPr>
        <sz val="10"/>
        <color rgb="FFFF0000"/>
        <rFont val="Meiryo UI"/>
        <family val="3"/>
        <charset val="128"/>
      </rPr>
      <t>【厚労省の認識】
■要求事項
・対象：アドオンチェック機能
・内容：案件ID010「被保番の振替処理（古い被保番対応）」の暫定対応として古い被保番が記録されていた場合はエラーとするアドオンチェックを廃止する。
■備考
関連ID010と同じタイミングでのリリースとする必要がある。</t>
    </r>
    <rPh sb="1" eb="3">
      <t>アンケン</t>
    </rPh>
    <rPh sb="7" eb="9">
      <t>サンショウ</t>
    </rPh>
    <rPh sb="15" eb="18">
      <t>コウロウショウ</t>
    </rPh>
    <rPh sb="19" eb="21">
      <t>ニンシキ</t>
    </rPh>
    <phoneticPr fontId="2"/>
  </si>
  <si>
    <t>関連ID010「被保番の振替処理（古い被保番対応）」の恒久対応リリースに合わせて、上記の暫定的なアドオンチェックを削除する必要がある。</t>
    <phoneticPr fontId="2"/>
  </si>
  <si>
    <t>案件ID010「被保番の振替処理（古い被保番対応）」の暫定対応として古い被保番が記録されていた場合はエラーとするアドオンチェックを廃止する。
■備考
関連ID010と同じタイミングでのリリースとする必要がある。</t>
    <phoneticPr fontId="2"/>
  </si>
  <si>
    <t>状況確認</t>
    <rPh sb="0" eb="2">
      <t>ジョウキョウ</t>
    </rPh>
    <rPh sb="2" eb="4">
      <t>カクニン</t>
    </rPh>
    <phoneticPr fontId="2"/>
  </si>
  <si>
    <r>
      <t xml:space="preserve">省令整理は法施行を考慮して、12月リリースとするか確認したい。
</t>
    </r>
    <r>
      <rPr>
        <sz val="10"/>
        <color rgb="FFFF0000"/>
        <rFont val="Meiryo UI"/>
        <family val="3"/>
        <charset val="128"/>
      </rPr>
      <t>→3月リリースになる可能性が高い　★ToDo(厚労)</t>
    </r>
    <rPh sb="0" eb="2">
      <t>ショウレイ</t>
    </rPh>
    <rPh sb="2" eb="4">
      <t>セイリ</t>
    </rPh>
    <rPh sb="5" eb="6">
      <t>ホウ</t>
    </rPh>
    <rPh sb="6" eb="8">
      <t>セコウ</t>
    </rPh>
    <rPh sb="9" eb="11">
      <t>コウリョ</t>
    </rPh>
    <rPh sb="16" eb="17">
      <t>ガツ</t>
    </rPh>
    <rPh sb="25" eb="27">
      <t>カクニン</t>
    </rPh>
    <rPh sb="34" eb="35">
      <t>ツキ</t>
    </rPh>
    <rPh sb="42" eb="45">
      <t>カノウセイ</t>
    </rPh>
    <rPh sb="46" eb="47">
      <t>タカ</t>
    </rPh>
    <rPh sb="55" eb="57">
      <t>コウロウ</t>
    </rPh>
    <phoneticPr fontId="2"/>
  </si>
  <si>
    <t>071</t>
  </si>
  <si>
    <t>071_01</t>
  </si>
  <si>
    <t>傷病名の転帰区分について、「clinicalStatusが、active/unknown以外の場合、abatementtimeが記載されていなければエラーとする」というアドオンチェックを実装する</t>
    <rPh sb="93" eb="95">
      <t>ジッソウ</t>
    </rPh>
    <phoneticPr fontId="2"/>
  </si>
  <si>
    <t>取り下げ理由：ID66と重複しているため</t>
    <rPh sb="0" eb="1">
      <t>ト</t>
    </rPh>
    <rPh sb="2" eb="3">
      <t>サ</t>
    </rPh>
    <rPh sb="4" eb="6">
      <t>リユウ</t>
    </rPh>
    <rPh sb="12" eb="14">
      <t>チョウフク</t>
    </rPh>
    <phoneticPr fontId="2"/>
  </si>
  <si>
    <t>2025/8/25※要件修正</t>
    <rPh sb="10" eb="14">
      <t>ヨウケンシュウセイ</t>
    </rPh>
    <phoneticPr fontId="2"/>
  </si>
  <si>
    <t>072</t>
  </si>
  <si>
    <t>072_01</t>
  </si>
  <si>
    <t>臨床情報(アレルギー)</t>
  </si>
  <si>
    <t>アレルギー情報のclinicalStatusにおけるXMLレイアウト・PDF帳票・マイナポータル・患者サマリーに表示およびレイアウト変更</t>
    <phoneticPr fontId="2"/>
  </si>
  <si>
    <t>臨床情報閲覧機能(PDF帳票・マイナポータル)でアレルギー情報(薬剤アレルギー、その他アレルギー)のClinical Statusを表示させる。</t>
  </si>
  <si>
    <t>■起票背景
現状、臨床情報閲覧機能(PDF帳票・マイナポータル)では、アレルギー情報(薬剤アレルギー、その他アレルギー)の臨床的状態(Clinical 
Status)が表示されない仕様となっているため、帳票に記載されたアレルギーの現存有無が、閲覧者側から識別できない。
■目的
将来的には、医療安全の観点から、帳票に記載されたアレルギーの現存有無が、閲覧者側から識別できるようにする方向性とするものの、R7年度においては
医療安全の観点および、医療現場の運用観点から、本サービスへの情報登録時に現存するアレルギーのみを本サービスに登録することとし、閲覧者側は情報登録時点で存在するアレルギーのみを閲覧することができることとする。</t>
    <rPh sb="141" eb="144">
      <t>ショウライテキ</t>
    </rPh>
    <rPh sb="193" eb="196">
      <t>ホウコウセイ</t>
    </rPh>
    <rPh sb="205" eb="207">
      <t>ネンド</t>
    </rPh>
    <rPh sb="224" eb="228">
      <t>イリョウゲンバ</t>
    </rPh>
    <rPh sb="229" eb="231">
      <t>ウンヨウ</t>
    </rPh>
    <rPh sb="231" eb="233">
      <t>カンテン</t>
    </rPh>
    <rPh sb="236" eb="237">
      <t>ホン</t>
    </rPh>
    <rPh sb="243" eb="248">
      <t>ジョウホウトウロクジ</t>
    </rPh>
    <rPh sb="249" eb="251">
      <t>ゲンゾン</t>
    </rPh>
    <rPh sb="261" eb="262">
      <t>ホン</t>
    </rPh>
    <rPh sb="267" eb="269">
      <t>トウロク</t>
    </rPh>
    <rPh sb="281" eb="287">
      <t>ジョウホウトウロクジテン</t>
    </rPh>
    <rPh sb="288" eb="290">
      <t>ソンザイ</t>
    </rPh>
    <rPh sb="300" eb="302">
      <t>エツラン</t>
    </rPh>
    <phoneticPr fontId="2"/>
  </si>
  <si>
    <t>・アレルギー学会：済
・臨床内科学会：済
・医師会：実装内容は説明予定なし
・作業班付議：なし</t>
    <rPh sb="9" eb="10">
      <t>スミ</t>
    </rPh>
    <rPh sb="19" eb="20">
      <t>スミ</t>
    </rPh>
    <rPh sb="22" eb="25">
      <t>イシカイ</t>
    </rPh>
    <rPh sb="26" eb="30">
      <t>ジッソウナイヨウ</t>
    </rPh>
    <rPh sb="31" eb="33">
      <t>セツメイ</t>
    </rPh>
    <rPh sb="33" eb="35">
      <t>ヨテイ</t>
    </rPh>
    <rPh sb="39" eb="42">
      <t>サギョウハン</t>
    </rPh>
    <rPh sb="42" eb="44">
      <t>フギ</t>
    </rPh>
    <phoneticPr fontId="2"/>
  </si>
  <si>
    <t>・4/4 要件確定
・7/7 医師会からの意見を受けて、リリース時期を変更</t>
    <rPh sb="5" eb="7">
      <t>ヨウケン</t>
    </rPh>
    <rPh sb="7" eb="9">
      <t>カクテイ</t>
    </rPh>
    <rPh sb="15" eb="17">
      <t>イシ</t>
    </rPh>
    <rPh sb="17" eb="18">
      <t>カイ</t>
    </rPh>
    <rPh sb="21" eb="23">
      <t>イケン</t>
    </rPh>
    <rPh sb="24" eb="25">
      <t>ウ</t>
    </rPh>
    <rPh sb="32" eb="34">
      <t>ジキ</t>
    </rPh>
    <rPh sb="35" eb="37">
      <t>ヘンコウ</t>
    </rPh>
    <phoneticPr fontId="2"/>
  </si>
  <si>
    <r>
      <t>■要求事項１
機能：臨床情報一覧出力機能（臨床情報：医療機関向けPDF帳票・XML,マイナポータルPDF・XML、患者サマリ－：PDF帳票・マイナポータル表示）（出力レイアウト）
内容：
①</t>
    </r>
    <r>
      <rPr>
        <b/>
        <sz val="11"/>
        <color rgb="FFFF0000"/>
        <rFont val="Meiryo UI"/>
        <family val="3"/>
        <charset val="128"/>
      </rPr>
      <t>医療機関向けPDF帳票、マイナポータルPDF帳票、患者サマリ－PDF帳票については、アレルギー情報(薬剤アレルギー等、その他アレルギー等のどちらも含む)欄から「確認状況(verificationstatus)」を削除</t>
    </r>
    <r>
      <rPr>
        <sz val="11"/>
        <color rgb="FFFF0000"/>
        <rFont val="Meiryo UI"/>
        <family val="3"/>
        <charset val="128"/>
      </rPr>
      <t>し、ステータスに関する情報を一切表示しないようにする。
②医療機関向けXML、マイナポータルXML、患者サマリ－XMLについては、アレルギー情報(薬剤アレルギー等、その他アレルギー等のどちらも含む)について</t>
    </r>
    <r>
      <rPr>
        <b/>
        <sz val="11"/>
        <color rgb="FFFF0000"/>
        <rFont val="Meiryo UI"/>
        <family val="3"/>
        <charset val="128"/>
      </rPr>
      <t>「臨床的状態(clinicalstatus)」、「確認状況(verificationstatus)」のタグは現状のまま残す。</t>
    </r>
    <r>
      <rPr>
        <sz val="11"/>
        <color rgb="FFFF0000"/>
        <rFont val="Meiryo UI"/>
        <family val="3"/>
        <charset val="128"/>
      </rPr>
      <t xml:space="preserve">
■要求事項２
機能：臨床情報一覧出力機能（臨床情報：医療機関向けPDF帳票・XML,マイナポータルPDF・XML、患者サマリ－：PDF帳票・マイナポータル表示）（出力情報）
内容：「臨床的状態(clinicalstatus)」がactiveである情報のみを出力する。（「確認状況(verificationstatus)」は出力しない）
（以下、補足）
①医療機関向けPDF帳票、マイナポータルPDF帳票、患者サマリ－PDF帳票は、「臨床的状態(clinicalstatus)」がactiveである情報のみが出力される。「確認状況(verificationstatus)」は削除するため、ステータスに関する情報は表示されない。
②医療機関向けXML、マイナポータルXML、患者サマリ－XMLについては、「臨床的状態(clinicalstatus)」がactiveである情報のみが出力される。すなわち、「臨床的状態(clinicalstatus)」にはactiveしか表示されず、「確認状況(verificationstatus)」には何も出力しない（表示できる情報がある場合でも）。
■備考
・ClinicalStatusがどの選択肢（active/Inactive/Resolved）でも登録自体は可能とする</t>
    </r>
    <phoneticPr fontId="2"/>
  </si>
  <si>
    <t>■課題
現行の帳票だと、アレルギー自体が存在するのか解決済みなのかが不明であるため、正しく情報を理解できない。</t>
    <rPh sb="42" eb="43">
      <t>タダ</t>
    </rPh>
    <rPh sb="45" eb="47">
      <t>ジョウホウ</t>
    </rPh>
    <rPh sb="48" eb="50">
      <t>リカイ</t>
    </rPh>
    <phoneticPr fontId="2"/>
  </si>
  <si>
    <t>■要求事項１
機能：臨床情報一覧出力機能（臨床情報：医療機関向けPDF帳票・XML,マイナポータルPDF・XML、患者サマリ－：PDF帳票・マイナポータル表示）（出力レイアウト）
内容：
①医療機関向けPDF帳票、マイナポータルPDF帳票、患者サマリ－PDF帳票については、アレルギー情報(薬剤アレルギー等、その他アレルギー等のどちらも含む)欄から「確認状況(verificationstatus)」を削除し、ステータスに関する情報を一切表示しないようにする。
②医療機関向けXML、マイナポータルXML、患者サマリ－XMLについては、アレルギー情報(薬剤アレルギー等、その他アレルギー等のどちらも含む)について「臨床的状態(clinicalstatus)」、「確認状況(verificationstatus)」のタグは現状のまま残す。
■要求事項２
機能：臨床情報一覧出力機能（臨床情報：医療機関向けPDF帳票・XML,マイナポータルPDF・XML、患者サマリ－：PDF帳票・マイナポータル表示）（出力情報）
内容：「臨床的状態(clinicalstatus)」がactiveである情報のみを出力する。（「確認状況(verificationstatus)」は出力しない）
（以下、補足）
①医療機関向けPDF帳票、マイナポータルPDF帳票、患者サマリ－PDF帳票は、「臨床的状態(clinicalstatus)」がactiveである情報のみが出力される。「確認状況(verificationstatus)」は削除するため、ステータスに関する情報は表示されない。
②医療機関向けXML、マイナポータルXML、患者サマリ－XMLについては、「臨床的状態(clinicalstatus)」がactiveである情報のみが出力される。すなわち、「臨床的状態(clinicalstatus)」にはactiveしか表示されず、「確認状況(verificationstatus)」には何も出力しない（表示できる情報がある場合でも）。
■備考
・ClinicalStatusがどの選択肢（active/Inactive/Resolved）でも登録自体は可能とする</t>
    <phoneticPr fontId="2"/>
  </si>
  <si>
    <t>073</t>
  </si>
  <si>
    <t>073_01</t>
  </si>
  <si>
    <t>臨床情報(全般)</t>
  </si>
  <si>
    <t>臨床情報閲覧機能(PDF帳票・マイナポータル)で、傷病名のVerificationStatusがrefused/entered in errorの場合、傷病名を出力無しに変更する。</t>
    <rPh sb="0" eb="2">
      <t>リンショウ</t>
    </rPh>
    <rPh sb="2" eb="4">
      <t>ジョウホウ</t>
    </rPh>
    <rPh sb="4" eb="6">
      <t>エツラン</t>
    </rPh>
    <rPh sb="6" eb="8">
      <t>キノウ</t>
    </rPh>
    <rPh sb="12" eb="14">
      <t>チョウヒョウ</t>
    </rPh>
    <rPh sb="25" eb="28">
      <t>ショウビョウメイ</t>
    </rPh>
    <rPh sb="73" eb="75">
      <t>バアイ</t>
    </rPh>
    <rPh sb="76" eb="79">
      <t>ショウビョウメイ</t>
    </rPh>
    <rPh sb="80" eb="82">
      <t>シュツリョク</t>
    </rPh>
    <rPh sb="82" eb="83">
      <t>ナシ</t>
    </rPh>
    <rPh sb="85" eb="87">
      <t>ヘンコウ</t>
    </rPh>
    <phoneticPr fontId="2"/>
  </si>
  <si>
    <t>取り下げ理由：実装済みのため</t>
    <rPh sb="0" eb="1">
      <t>ト</t>
    </rPh>
    <rPh sb="2" eb="3">
      <t>サ</t>
    </rPh>
    <rPh sb="4" eb="6">
      <t>リユウ</t>
    </rPh>
    <rPh sb="7" eb="10">
      <t>ジッソウズ</t>
    </rPh>
    <phoneticPr fontId="2"/>
  </si>
  <si>
    <t>074</t>
  </si>
  <si>
    <t>074_01</t>
  </si>
  <si>
    <t>傷病名のVerificationStatusが、「Provisional/Differential」の場合にErrorとするバリデーションチェック</t>
    <phoneticPr fontId="2"/>
  </si>
  <si>
    <t>臨床情報登録機能について、「傷病名のVerificationStatusが、provisional/Differentialの場合、エラーとする」というアドオンチェックに変更し、以下のエラーメッセージを表示する。
「provisional・differentialは使用できません。正しいステータスに修正してください。」​</t>
    <rPh sb="4" eb="6">
      <t>トウロク</t>
    </rPh>
    <phoneticPr fontId="2"/>
  </si>
  <si>
    <t>■起票背景
ConditionリソースのVerificationStatusについてFHIR記述仕様(実装ガイド)では、以下の仕様となっており、Provisional(暫定的)とDifferential(潜在的)の使用は想定されていないが、特にバリデーションチェックの対象とはなっていないため、これらのステータスを記述しても登録可能となっている。
===
電子カルテ情報共有サービスでは、confirmed、unconfirmed以外の病名に対してはその情報は保存されるが、利用されたり表示されたりすることはない。過去の登録病名情報に対して削除や取り消しなどの処理を行うために使われることもないため、refutedやentered-in-errorをつけて送信しても過去に送信した病名を取り消すことはできない。
Unconfirmed|Confirmed|Refuted|EnteredinErrorのいずれかの文字列。
■目的
電子カルテ情報共有サービスのために規定したFHIR記述仕様に則ったデータ登録を促進できる。​</t>
  </si>
  <si>
    <r>
      <t xml:space="preserve">機能：アドオンチェック機能
内容：傷病名のVerificationStatusが、provisional/Differentialの場合、エラーとする。その際、以下のエラーメッセージを表示する。
「provisional・differentialは使用できません。正しいステータスに修正してください。」
</t>
    </r>
    <r>
      <rPr>
        <sz val="10"/>
        <color rgb="FF8BE1FF"/>
        <rFont val="Meiryo UI"/>
        <family val="3"/>
        <charset val="128"/>
      </rPr>
      <t>※患者サマリもアドオンチェックの対象となる</t>
    </r>
    <phoneticPr fontId="2"/>
  </si>
  <si>
    <t>データ登録されても、帳票出力されないように制御しているため、閲覧における実務的な問題は起こらないが、そもそも実装ガイドで未指定となっているステータスを登録できてしまうと、本サービスに適合しないデータを受け入れることになってしまう。</t>
    <phoneticPr fontId="2"/>
  </si>
  <si>
    <r>
      <t xml:space="preserve">傷病名のVerificationStatusが、provisional/Differentialの場合、エラーとする。その際、以下のエラーメッセージを表示する。
「provisional・differentialは使用できません。正しいステータスに修正してください。」​
</t>
    </r>
    <r>
      <rPr>
        <sz val="10"/>
        <color rgb="FF8BE1FF"/>
        <rFont val="Meiryo UI"/>
        <family val="3"/>
        <charset val="128"/>
      </rPr>
      <t>※患者サマリーもアドオンチェック対象。</t>
    </r>
    <rPh sb="137" eb="139">
      <t>カンジャ</t>
    </rPh>
    <rPh sb="152" eb="154">
      <t>タイショウ</t>
    </rPh>
    <phoneticPr fontId="2"/>
  </si>
  <si>
    <t>075</t>
  </si>
  <si>
    <t>075_01</t>
  </si>
  <si>
    <t>検査・感染症のstasusが「amended/entered-in-error/unknown」の場合にErrorとするバリデーションチェック</t>
    <rPh sb="49" eb="51">
      <t>バアイ</t>
    </rPh>
    <phoneticPr fontId="3"/>
  </si>
  <si>
    <t>臨床情報登録機能について、「検査・感染症のObservationのstasusがamended/entered-in-error/unknownの場合、エラーとする」というアドオンチェックに変更する。</t>
    <rPh sb="0" eb="2">
      <t>リンショウ</t>
    </rPh>
    <rPh sb="2" eb="4">
      <t>ジョウホウ</t>
    </rPh>
    <rPh sb="4" eb="6">
      <t>トウロク</t>
    </rPh>
    <rPh sb="6" eb="8">
      <t>キノウ</t>
    </rPh>
    <rPh sb="14" eb="16">
      <t>ケンサ</t>
    </rPh>
    <rPh sb="17" eb="20">
      <t>カンセンショウ</t>
    </rPh>
    <rPh sb="73" eb="75">
      <t>バアイ</t>
    </rPh>
    <rPh sb="95" eb="97">
      <t>ヘンコウ</t>
    </rPh>
    <phoneticPr fontId="2"/>
  </si>
  <si>
    <t>■起票背景
ObservationのstasusについてFHIR記述仕様(実装ガイド)では、以下の仕様となっており、amended/entered-in-error/unknownは使用不可と記載されているが、特にバリデーションチェックの対象とはなっていないため、これらのステータスを記述しても登録可能となっている。
===
検査・観察のステータス。使用するコード表："http://hl7.org/fhir/observation-status"から以下のみを使用することができる。
　registered : 結果未着
　preliminary : 暫定結果報告
　final : 最終結果報告
　corrected : 訂正報告
　cancelled : 検査中止
■目的
電子カルテ情報共有サービスのために規定したFHIR記述仕様に則ったデータ登録を促進できる。</t>
    <phoneticPr fontId="2"/>
  </si>
  <si>
    <t>■要求事項
機能：アドオンチェック機能
内容：感染症・検査情報のStatusが、amended/entered-in-error/unknownの場合、エラーとする。その際、以下のエラーメッセージを表示する。
「amended・entered-in-error・unknownは使用できません。正しいステータスに修正してください。」​</t>
    <phoneticPr fontId="2"/>
  </si>
  <si>
    <t>データ登録されても、帳票出力されないように制御しているため、閲覧における実務的な問題は起こらないが、そもそも実装ガイドで使用不可となっているステータスを登録できてしまうと、本サービスに適合しないデータを受け入れることになってしまう。</t>
    <phoneticPr fontId="2"/>
  </si>
  <si>
    <t>感染症・検査情報のStatusが、amended/entered-in-error/unknownの場合、エラーとする。その際、以下のエラーメッセージを表示する。
「amended・entered-in-error・unknownは使用できません。正しいステータスに修正してください。」​</t>
    <phoneticPr fontId="2"/>
  </si>
  <si>
    <t>076</t>
  </si>
  <si>
    <t>076_01</t>
  </si>
  <si>
    <t>臨床情報(全般)</t>
    <phoneticPr fontId="2"/>
  </si>
  <si>
    <t>感染症情報のstatusが「registered(結果未着)/cancelled(中止)」の場合にデータ出力しない制御</t>
    <rPh sb="0" eb="3">
      <t>カンセンショウ</t>
    </rPh>
    <rPh sb="3" eb="5">
      <t>ジョウホウ</t>
    </rPh>
    <rPh sb="46" eb="48">
      <t>バアイ</t>
    </rPh>
    <rPh sb="52" eb="54">
      <t>シュツリョク</t>
    </rPh>
    <rPh sb="57" eb="59">
      <t>セイギョ</t>
    </rPh>
    <phoneticPr fontId="3"/>
  </si>
  <si>
    <t>臨床情報閲覧機能(PDF帳票・マイナポータル)で、感染症のObservationのstatusがresisterd/cancelledの場合、感染症検査結果を出力無しに変更する。</t>
    <rPh sb="0" eb="2">
      <t>リンショウ</t>
    </rPh>
    <rPh sb="2" eb="4">
      <t>ジョウホウ</t>
    </rPh>
    <rPh sb="4" eb="6">
      <t>エツラン</t>
    </rPh>
    <rPh sb="6" eb="8">
      <t>キノウ</t>
    </rPh>
    <rPh sb="12" eb="14">
      <t>チョウヒョウ</t>
    </rPh>
    <rPh sb="25" eb="28">
      <t>カンセンショウ</t>
    </rPh>
    <rPh sb="68" eb="70">
      <t>バアイ</t>
    </rPh>
    <rPh sb="71" eb="74">
      <t>カンセンショウ</t>
    </rPh>
    <rPh sb="74" eb="76">
      <t>ケンサ</t>
    </rPh>
    <rPh sb="76" eb="78">
      <t>ケッカ</t>
    </rPh>
    <rPh sb="79" eb="81">
      <t>シュツリョク</t>
    </rPh>
    <rPh sb="81" eb="82">
      <t>ナシ</t>
    </rPh>
    <rPh sb="84" eb="86">
      <t>ヘンコウ</t>
    </rPh>
    <phoneticPr fontId="2"/>
  </si>
  <si>
    <t>■起票背景
感染症情報については、患者に検査結果を説明した後にデータ登録することを技術解説書で示しているため、「結果未着」や「中止」のステータスでデータ登録されることは想定していない。
一方、Statusが「registered(結果未着)/cancelled(中止)」の場合であってもデータ登録は可能であり、臨床情報一覧の感染症情報に項目として表示される仕様となっている。
■目的
臨床情報一覧には、閲覧者にとって意味を成す、必要な情報だけが表示できるようにする。</t>
  </si>
  <si>
    <t>モデルベンダ：確認中</t>
    <rPh sb="7" eb="10">
      <t>カクニンチュウ</t>
    </rPh>
    <phoneticPr fontId="2"/>
  </si>
  <si>
    <t>■要求事項
機能：臨床情報一覧出力機能
内容：臨床情報閲覧機能(XML・PDF帳票・マイナポータル)で、
・感染症のObservationのstatusがresisterd/cancelledの場合、感染症検査項目単位で情報出力を行わないように制御する。
・検査のObservationのstatusがresisterdの場合、検査項目単位で情報出力を行わないように制御する。
■備考
ワーニングは不要。</t>
    <phoneticPr fontId="2"/>
  </si>
  <si>
    <t>感染症情報の登録ルールに準拠していないことに加え、「結果未着」・「中止」ステータスの結果を表示することに臨床的な意義もなく、逆に帳票の視認性を下げる可能性がある。</t>
    <phoneticPr fontId="2"/>
  </si>
  <si>
    <t>臨床情報閲覧機能(XML・PDF帳票・マイナポータル)で検査のObservationのstatusがresisterdの場合、検査項目単位で情報出力を行わないように制御する。
■備考
ワーニングは不要。</t>
    <phoneticPr fontId="2"/>
  </si>
  <si>
    <t>077</t>
  </si>
  <si>
    <t>077_01</t>
  </si>
  <si>
    <t>最新プロファイル取り込み。（令和7年度7月リリース分）</t>
    <rPh sb="0" eb="2">
      <t>サイシン</t>
    </rPh>
    <rPh sb="8" eb="9">
      <t>ト</t>
    </rPh>
    <rPh sb="10" eb="11">
      <t>コ</t>
    </rPh>
    <rPh sb="14" eb="16">
      <t>レイワ</t>
    </rPh>
    <rPh sb="17" eb="19">
      <t>ネンド</t>
    </rPh>
    <rPh sb="20" eb="21">
      <t>ガツ</t>
    </rPh>
    <rPh sb="25" eb="26">
      <t>ブン</t>
    </rPh>
    <phoneticPr fontId="2"/>
  </si>
  <si>
    <t>079</t>
  </si>
  <si>
    <t>079_01</t>
  </si>
  <si>
    <t>臨床情報登録機能について、検査及び感染症のObservationのstatusがregistered/cancelledの場合、以下のワーニングを表示する。
「ステータスが結果未着のため、この結果は臨床情報として表示されません。ステータスが誤っている場合は登録しなおしてください。」</t>
    <rPh sb="13" eb="15">
      <t>ケンサ</t>
    </rPh>
    <rPh sb="15" eb="16">
      <t>オヨ</t>
    </rPh>
    <rPh sb="17" eb="20">
      <t>カンセンショウ</t>
    </rPh>
    <rPh sb="61" eb="63">
      <t>バアイ</t>
    </rPh>
    <rPh sb="64" eb="66">
      <t>イカ</t>
    </rPh>
    <rPh sb="73" eb="75">
      <t>ヒョウジ</t>
    </rPh>
    <rPh sb="86" eb="88">
      <t>ケッカ</t>
    </rPh>
    <rPh sb="88" eb="90">
      <t>ミチャク</t>
    </rPh>
    <rPh sb="96" eb="98">
      <t>ケッカ</t>
    </rPh>
    <rPh sb="99" eb="101">
      <t>リンショウ</t>
    </rPh>
    <rPh sb="101" eb="103">
      <t>ジョウホウ</t>
    </rPh>
    <rPh sb="106" eb="108">
      <t>ヒョウジ</t>
    </rPh>
    <rPh sb="120" eb="121">
      <t>アヤマ</t>
    </rPh>
    <rPh sb="125" eb="127">
      <t>バアイ</t>
    </rPh>
    <rPh sb="128" eb="130">
      <t>トウロク</t>
    </rPh>
    <phoneticPr fontId="2"/>
  </si>
  <si>
    <t>取り下げ理由：このワーニングメッセージを登録医療機関の医師等が確認したとしても、そもそも結果のない状態であることから、ネクストアクションにつながらないため。</t>
    <rPh sb="0" eb="1">
      <t>ト</t>
    </rPh>
    <rPh sb="2" eb="3">
      <t>サ</t>
    </rPh>
    <rPh sb="4" eb="6">
      <t>リユウ</t>
    </rPh>
    <phoneticPr fontId="2"/>
  </si>
  <si>
    <t>080</t>
  </si>
  <si>
    <t>080_01</t>
  </si>
  <si>
    <t>感染症情報のStatusが「preliminary(暫定結果報告)」の場合にWarningとするバリデーションチェック</t>
    <phoneticPr fontId="3"/>
  </si>
  <si>
    <t>臨床情報登録機能について、感染症のObservationが、preliminaryの場合、以下のワーニングを表示する。
「登録した感染症検査結果が「暫定結果報告」のステータスになっていますが患者に結果説明はされていますか。確定情報として臨床情報に表示されます。」​</t>
    <rPh sb="11" eb="14">
      <t>カンセンショウ</t>
    </rPh>
    <rPh sb="40" eb="42">
      <t>バアイ</t>
    </rPh>
    <rPh sb="43" eb="45">
      <t>イカ</t>
    </rPh>
    <rPh sb="52" eb="54">
      <t>ヒョウジ</t>
    </rPh>
    <phoneticPr fontId="2"/>
  </si>
  <si>
    <t>■起票背景
感染症情報については、患者に検査結果を説明した後にデータ登録することを技術解説書で示しているため、「暫定結果報告(いわゆる「中間」」のステータスでデータ登録されることは稀なケースと想定。
一方、ありうるケースではあるため、Statusが「preliminary(暫定結果報告)」の場合であってもデータ登録は可能であり、臨床情報一覧の感染症情報に項目として表示される仕様となっている。
■目的
感染症情報について、患者が結果を把握できていない時点でのデータ登録及びマイナポータル閲覧を防げるようにすること。</t>
  </si>
  <si>
    <t>■要求事項
機能：アドオンチェック機能
内容：臨床情報登録機能について、感染症のObservationが、preliminaryの場合、以下のワーニングを表示する。
「登録した感染症検査結果が「暫定結果報告」のステータスになっていますが患者に結果説明はされていますか。確定情報として臨床情報に表示されます。」​</t>
    <rPh sb="27" eb="29">
      <t>トウロク</t>
    </rPh>
    <phoneticPr fontId="2"/>
  </si>
  <si>
    <t>中間報告時点であり、稀なケースであるため、医師等が患者に対して、中間時点の結果を説明していない可能性がある。</t>
    <phoneticPr fontId="2"/>
  </si>
  <si>
    <t>臨床情報登録機能について、感染症のObservationが、preliminaryの場合、以下のワーニングを表示する。
「登録した感染症検査結果が「暫定結果報告」のステータスになっていますが患者に結果説明はされていますか。確定情報として臨床情報に表示されます。」​</t>
    <rPh sb="4" eb="6">
      <t>トウロク</t>
    </rPh>
    <phoneticPr fontId="2"/>
  </si>
  <si>
    <t>081</t>
  </si>
  <si>
    <t>081_01</t>
  </si>
  <si>
    <t>傷病名における「ClinicalStatusの種類」と「abatmentDatetimeの入力有無」の組み合わせチェック</t>
    <rPh sb="0" eb="3">
      <t>ショウビョウメイ</t>
    </rPh>
    <rPh sb="23" eb="25">
      <t>シュルイ</t>
    </rPh>
    <rPh sb="45" eb="47">
      <t>ニュウリョク</t>
    </rPh>
    <rPh sb="47" eb="49">
      <t>ウム</t>
    </rPh>
    <rPh sb="51" eb="52">
      <t>ク</t>
    </rPh>
    <rPh sb="53" eb="54">
      <t>ア</t>
    </rPh>
    <phoneticPr fontId="2"/>
  </si>
  <si>
    <t>下記以外の入力においてエラーとなるようにバリデーションチェックで確認する。(下記は正常系)
・傷病名において、ClinicalStatusの種類がActive又はUnknowの場合、abatmentDatetimeは入力不可。
・傷病名において、ClinicalStatusの種類がRemmision又はResolvedの場合、abatmentDatetimeは入力必須。</t>
    <rPh sb="0" eb="2">
      <t>カキ</t>
    </rPh>
    <rPh sb="2" eb="4">
      <t>イガイ</t>
    </rPh>
    <rPh sb="5" eb="7">
      <t>ニュウリョク</t>
    </rPh>
    <rPh sb="32" eb="34">
      <t>カクニン</t>
    </rPh>
    <rPh sb="38" eb="40">
      <t>カキ</t>
    </rPh>
    <rPh sb="41" eb="44">
      <t>セイジョウケイ</t>
    </rPh>
    <rPh sb="47" eb="50">
      <t>ショウビョウメイ</t>
    </rPh>
    <rPh sb="79" eb="80">
      <t>マタ</t>
    </rPh>
    <rPh sb="88" eb="90">
      <t>バアイ</t>
    </rPh>
    <rPh sb="108" eb="110">
      <t>ニュウリョク</t>
    </rPh>
    <rPh sb="110" eb="112">
      <t>フカ</t>
    </rPh>
    <rPh sb="115" eb="118">
      <t>ショウビョウメイ</t>
    </rPh>
    <rPh sb="183" eb="185">
      <t>ヒッス</t>
    </rPh>
    <phoneticPr fontId="2"/>
  </si>
  <si>
    <t>■起票背景
実装ガイドでは、Condition.clinicalStatus.coding.code に“unknown”を記録する際に、
Condition.abatementDateTimeを記録するとエラーとなる仕様となっている。
一方、アドオンチェックでは、 Condition.clinicalStatus.coding.code に“unknown”を記録する際に、Condition.abatementDateTimeが記録されていない場合にエラーとなる仕様となっている。
■目的
傷病名のステータスと終了日の正しい組み合わせが登録できるようになる。</t>
    <phoneticPr fontId="2"/>
  </si>
  <si>
    <t>取り下げ理由：6/17 ID066と案件が重複しているため取り下げ（6/16 開発課題検討会で確認済み）</t>
    <rPh sb="0" eb="1">
      <t>ト</t>
    </rPh>
    <rPh sb="2" eb="3">
      <t>サ</t>
    </rPh>
    <rPh sb="4" eb="6">
      <t>リユウ</t>
    </rPh>
    <rPh sb="18" eb="20">
      <t>アンケン</t>
    </rPh>
    <rPh sb="21" eb="23">
      <t>チョウフク</t>
    </rPh>
    <rPh sb="29" eb="30">
      <t>ト</t>
    </rPh>
    <rPh sb="31" eb="32">
      <t>サ</t>
    </rPh>
    <rPh sb="39" eb="46">
      <t>カイハツカダイケントウカイ</t>
    </rPh>
    <rPh sb="47" eb="49">
      <t>カクニン</t>
    </rPh>
    <rPh sb="49" eb="50">
      <t>ズ</t>
    </rPh>
    <phoneticPr fontId="2"/>
  </si>
  <si>
    <t>機能：アドオンチェック機能
内容：下記以外の入力においてエラーとなるようにバリデーションチェックで確認する。
・傷病名において、ClinicalStatusの種類がActive又はUnknowの場合、abatmentDatetimeは入力不可。
・傷病名において、ClinicalStatusの種類がRemmision又はResolvedの場合、abatmentDatetimeは入力必須。</t>
    <phoneticPr fontId="2"/>
  </si>
  <si>
    <t>正常な記述方法である「“unknown”且つ“abatementDateTimeの記録無し”」の登録ができない。​</t>
    <phoneticPr fontId="2"/>
  </si>
  <si>
    <t>下記以外の入力においてエラーとなるようにバリデーションチェックで確認する。
・傷病名において、ClinicalStatusの種類がActive又はUnknowの場合、abatmentDatetimeは入力不可。
・傷病名において、ClinicalStatusの種類がRemmision又はResolvedの場合、abatmentDatetimeは入力必須。</t>
    <phoneticPr fontId="2"/>
  </si>
  <si>
    <t>取り下げ確認</t>
    <rPh sb="0" eb="4">
      <t>トリサゲリ</t>
    </rPh>
    <rPh sb="4" eb="6">
      <t>カクニン</t>
    </rPh>
    <phoneticPr fontId="2"/>
  </si>
  <si>
    <r>
      <t xml:space="preserve">実施済みのため取り下げる方針だが問題ないか（案件066と重複）
</t>
    </r>
    <r>
      <rPr>
        <sz val="10"/>
        <color rgb="FFFF0000"/>
        <rFont val="Meiryo UI"/>
        <family val="3"/>
        <charset val="128"/>
      </rPr>
      <t>→案件66よりスコープ広い、NDより実装済と回答あり
→再度NDに確認の上、厚労省に取り下げを依頼する　★ToDo(基金)</t>
    </r>
    <rPh sb="0" eb="3">
      <t>ジッシズ</t>
    </rPh>
    <rPh sb="7" eb="8">
      <t>ト</t>
    </rPh>
    <rPh sb="9" eb="10">
      <t>サ</t>
    </rPh>
    <rPh sb="12" eb="14">
      <t>ホウシン</t>
    </rPh>
    <rPh sb="16" eb="18">
      <t>モンダイ</t>
    </rPh>
    <rPh sb="22" eb="23">
      <t>アン</t>
    </rPh>
    <rPh sb="23" eb="24">
      <t>ケン</t>
    </rPh>
    <rPh sb="28" eb="30">
      <t>チョウフク</t>
    </rPh>
    <rPh sb="33" eb="35">
      <t>アンケン</t>
    </rPh>
    <rPh sb="43" eb="44">
      <t>ヒロ</t>
    </rPh>
    <rPh sb="50" eb="52">
      <t>ジッソウ</t>
    </rPh>
    <rPh sb="52" eb="53">
      <t>スミ</t>
    </rPh>
    <rPh sb="54" eb="56">
      <t>カイトウ</t>
    </rPh>
    <rPh sb="60" eb="62">
      <t>サイド</t>
    </rPh>
    <rPh sb="65" eb="67">
      <t>カクニン</t>
    </rPh>
    <rPh sb="68" eb="69">
      <t>ウエ</t>
    </rPh>
    <rPh sb="70" eb="73">
      <t>コウロウショウ</t>
    </rPh>
    <rPh sb="74" eb="75">
      <t>ト</t>
    </rPh>
    <rPh sb="76" eb="77">
      <t>サ</t>
    </rPh>
    <rPh sb="79" eb="81">
      <t>イライ</t>
    </rPh>
    <rPh sb="90" eb="92">
      <t>キキン</t>
    </rPh>
    <phoneticPr fontId="2"/>
  </si>
  <si>
    <t>082</t>
  </si>
  <si>
    <t>082_01</t>
  </si>
  <si>
    <t>文書情報全体PDF添付を必須とするためのバリデーションチェック</t>
    <rPh sb="0" eb="6">
      <t>ブンショジョウホウゼンタイ</t>
    </rPh>
    <rPh sb="9" eb="11">
      <t>テンプ</t>
    </rPh>
    <rPh sb="12" eb="14">
      <t>ヒッス</t>
    </rPh>
    <phoneticPr fontId="3"/>
  </si>
  <si>
    <t>文書情報全体PDF添付を必須とするためのバリデーションチェックを行う。</t>
    <phoneticPr fontId="2"/>
  </si>
  <si>
    <t>■起票背景
現行、技術解説書には、「文書情報全体をPDF化したものを添付することを強く推奨する」と記載しており、文書情報全体のPDFについては、バリデーションチェックまで行っていない。
FHIRのプロファイルバージョンを年に３回程度版上げする想定であり、対応しているプロファイルの版がばらつく場合、必ずしも紹介元医療機関が登録したFHIRデータを紹介元医療機関で全量表示できない可能性があるリスクについて有識者より意見を受領。
■目的
医療機関等システムベンダごとに、対応するFHIRプロファイルのバージョンにばらつきがあった場合であっても、紹介元医療機関が記述した情報が、紹介先医療機関に正しく伝達できるようにする。</t>
  </si>
  <si>
    <t>医療機関等システムベンダごとに、対応するFHIRプロファイルのバージョンにばらつきがあった場合であっても、紹介元医療機関が記述した情報が、紹介先医療機関に正しく伝達できる</t>
    <phoneticPr fontId="2"/>
  </si>
  <si>
    <r>
      <t xml:space="preserve">機能：アドオンチェック機能
内容：Composition.section:pdfSection.entryから参照されるDocumentReferenceリソースのDocumentReference.content.attachment.url要素が記述されているかどうかをチェックする。記述がなければエラーとする。
</t>
    </r>
    <r>
      <rPr>
        <sz val="10"/>
        <color rgb="FF9BBB59"/>
        <rFont val="Meiryo UI"/>
        <family val="3"/>
        <charset val="128"/>
      </rPr>
      <t>※診療情報提供書に加え、退院時サマリもアドオンチェックの対象となる</t>
    </r>
    <phoneticPr fontId="2"/>
  </si>
  <si>
    <t>医療機関等システムベンダごとに、対応するFHIRプロファイルのバージョンにばらつきがあった際に、紹介元医療機関が記述した内容を、紹介先医療機関で表示できず、情報が欠ける可能性がある。</t>
    <phoneticPr fontId="2"/>
  </si>
  <si>
    <t>Composition.section:pdfSection.entryから参照されるDocumentReferenceリソースのDocumentReference.content.attachment.url要素が記述されているかどうかをチェックする。記述がなければエラーとする。</t>
    <phoneticPr fontId="2"/>
  </si>
  <si>
    <t>083</t>
  </si>
  <si>
    <t>083_01</t>
  </si>
  <si>
    <t>名字がない氏名を許容するバリデーションチェック</t>
    <rPh sb="0" eb="2">
      <t>ミョウジ</t>
    </rPh>
    <rPh sb="5" eb="7">
      <t>シメイ</t>
    </rPh>
    <rPh sb="8" eb="10">
      <t>キョヨウ</t>
    </rPh>
    <phoneticPr fontId="3"/>
  </si>
  <si>
    <t>名字がない氏名に対応したバリデーションチェックを行う。</t>
    <rPh sb="0" eb="2">
      <t>ミョウジ</t>
    </rPh>
    <rPh sb="5" eb="7">
      <t>シメイ</t>
    </rPh>
    <rPh sb="8" eb="10">
      <t>タイオウ</t>
    </rPh>
    <rPh sb="24" eb="25">
      <t>オコナ</t>
    </rPh>
    <phoneticPr fontId="3"/>
  </si>
  <si>
    <t>■起票背景
Patientリソースの多重度として、name.family、name.givenのそれぞれが必須となっているが、 姓と名の区別がない地域がある。
■目的
姓・名の区別をしていない国の患者氏名でもデータ登録できるようにすること。</t>
    <rPh sb="1" eb="5">
      <t>キヒョウハイケイ</t>
    </rPh>
    <phoneticPr fontId="3"/>
  </si>
  <si>
    <t>姓・名の区別をしていない国の患者氏名でもデータ登録できるようになる</t>
    <phoneticPr fontId="3"/>
  </si>
  <si>
    <t>大江先生：済
対応案１で合意済み</t>
    <rPh sb="7" eb="9">
      <t>タイオウ</t>
    </rPh>
    <rPh sb="9" eb="10">
      <t>アン</t>
    </rPh>
    <rPh sb="12" eb="14">
      <t>ゴウイ</t>
    </rPh>
    <rPh sb="14" eb="15">
      <t>ズ</t>
    </rPh>
    <phoneticPr fontId="2"/>
  </si>
  <si>
    <t>■要求事項
&lt;対応案１&gt;
name.familyを任意項目とする（多重度の最小値を0とする(0..1)）
その上で、システム上は、name.familyが記録されていなければ、name.givenだけを「患者氏名」として管理する
&lt;対応案２&gt;
name.familyが入っていなくてもアドオンチェックでエラーを無視できるようにする。
その上で、システム上は、name.familyが記録されていなければ、name.givenだけを「患者氏名」として管理する
&lt;対応案３&gt;
name.familyが入れられない場合は、「*****」といったダミー文字を医療機関等システム側で記述した上で登録してもらう
その上で、システム上は、name.familyがダミーコードの場合、name.givenだけを「患者氏名」として管理する
■備考
オン資（中間サーバー）は「姓」「名」を分けて管理しておらず、「氏名」として1項目でデータ管理している。</t>
    <phoneticPr fontId="2"/>
  </si>
  <si>
    <t>姓(name.family)と名(name.given)をそれぞれ記述しないとバリデーションチェックでエラーとなるため、データ登録ができない。</t>
    <phoneticPr fontId="2"/>
  </si>
  <si>
    <t>全サービス</t>
    <rPh sb="0" eb="1">
      <t>ゼン</t>
    </rPh>
    <phoneticPr fontId="2"/>
  </si>
  <si>
    <t>■要求事項
&lt;対応案１&gt;
name.familyを任意項目とする（多重度の最小値を0とする(0..1)）
その上で、システム上は、name.familyが記録されていなければ、name.givenだけを「患者氏名」として管理する
&lt;対応案２&gt;
name.familyが入っていなくてもアドオンチェックでエラーを無視できるようにする。
その上で、システム上は、name.familyが記録されていなければ、name.givenだけを「患者氏名」として管理する
&lt;対応案３&gt;
name.familyが入れられない場合は、「*****」といったダミー文字を医療機関等システム側で記述した上で登録してもらう
その上で、システム上は、name.familyがダミーコードの場合、name.givenだけを「患者氏名」として管理する
■備考
オン資（中間サーバー）は「姓」「名」を分けて管理しておらず、「氏名」として1項目でデータ管理している。</t>
    <phoneticPr fontId="2"/>
  </si>
  <si>
    <t>084</t>
    <phoneticPr fontId="2"/>
  </si>
  <si>
    <t>084_01</t>
  </si>
  <si>
    <t>基準値の多重度</t>
    <rPh sb="0" eb="3">
      <t>キジュンチ</t>
    </rPh>
    <rPh sb="4" eb="7">
      <t>タジュウド</t>
    </rPh>
    <phoneticPr fontId="2"/>
  </si>
  <si>
    <t>アドオンチェックにて基準値(Observation.referenceRange)を1つしか登録できないように、多重度をチェックする</t>
    <rPh sb="46" eb="48">
      <t>トウロク</t>
    </rPh>
    <phoneticPr fontId="2"/>
  </si>
  <si>
    <t>現状、プロファイル上は基準値(Observation.referenceRange)の多重度が「0..*」となっているため基準値を複数個記述(Observation.referenceRange要素が複数回記述されても)しても登録可能であるが、臨床情報PDF帳票には1つの基準値しか出力できない。
そのため、検査・感染症結果の登録において基準値の記述を以下パターンのみ許容する方向で検討すべき。
・Observation.referenceRange要素に上限値が１つ記載されている
・Observation.referenceRange要素に下限値が１つ記載されている
・Observation.referenceRange要素に上限値が１つかつ下限値が１つ記載されている</t>
    <rPh sb="9" eb="10">
      <t>ジョウ</t>
    </rPh>
    <rPh sb="61" eb="64">
      <t>キジュンチ</t>
    </rPh>
    <rPh sb="97" eb="99">
      <t>ヨウソ</t>
    </rPh>
    <rPh sb="100" eb="103">
      <t>フクスウカイ</t>
    </rPh>
    <rPh sb="103" eb="105">
      <t>キジュツ</t>
    </rPh>
    <rPh sb="133" eb="136">
      <t>フクスウコ</t>
    </rPh>
    <rPh sb="136" eb="138">
      <t>キジュツ</t>
    </rPh>
    <rPh sb="141" eb="145">
      <t>トウロクカノウ</t>
    </rPh>
    <rPh sb="173" eb="175">
      <t>キジュツ</t>
    </rPh>
    <rPh sb="176" eb="178">
      <t>イカ</t>
    </rPh>
    <rPh sb="184" eb="186">
      <t>キョヨウ</t>
    </rPh>
    <rPh sb="188" eb="190">
      <t>ホウコウ</t>
    </rPh>
    <rPh sb="191" eb="193">
      <t>ケントウ</t>
    </rPh>
    <rPh sb="225" eb="227">
      <t>ヨウソ</t>
    </rPh>
    <rPh sb="228" eb="231">
      <t>ジョウゲンチ</t>
    </rPh>
    <rPh sb="234" eb="236">
      <t>キサイ</t>
    </rPh>
    <rPh sb="272" eb="275">
      <t>カゲンチ</t>
    </rPh>
    <rPh sb="324" eb="327">
      <t>カゲンチトウロクキジュンチ</t>
    </rPh>
    <phoneticPr fontId="2"/>
  </si>
  <si>
    <t>取り下げ理由：#089と同様の内容であるため</t>
    <rPh sb="0" eb="1">
      <t>ト</t>
    </rPh>
    <rPh sb="2" eb="3">
      <t>サ</t>
    </rPh>
    <rPh sb="4" eb="6">
      <t>リユウ</t>
    </rPh>
    <rPh sb="12" eb="14">
      <t>ドウヨウ</t>
    </rPh>
    <rPh sb="15" eb="17">
      <t>ナイヨウ</t>
    </rPh>
    <phoneticPr fontId="2"/>
  </si>
  <si>
    <t>086</t>
    <phoneticPr fontId="2"/>
  </si>
  <si>
    <t>086_01</t>
  </si>
  <si>
    <t>加入者登録情報に不整合があった際の顔CR挙動の見直し</t>
    <phoneticPr fontId="2"/>
  </si>
  <si>
    <t>加入者登録情報に不整合があった際の顔CR挙動の見直し</t>
    <rPh sb="3" eb="5">
      <t>トウロク</t>
    </rPh>
    <rPh sb="8" eb="11">
      <t>フセイゴウ</t>
    </rPh>
    <rPh sb="15" eb="16">
      <t>サイ</t>
    </rPh>
    <rPh sb="17" eb="18">
      <t>カオ</t>
    </rPh>
    <rPh sb="20" eb="22">
      <t>キョドウ</t>
    </rPh>
    <rPh sb="23" eb="25">
      <t>ミナオ</t>
    </rPh>
    <phoneticPr fontId="3"/>
  </si>
  <si>
    <t>■起票背景
現行、オンライン資格確認時に、「J-LISに登録されている住基上の５情報（漢字氏名、カナ氏名、生年月日、性別、住所）」と、「中間サーバーに登録済の加入者情報」とを突合して、住所情報が不一致だった場合には、資格確認はできるが、医療情報閲覧は不可とする制御を行っている。
一方で、モデル事業医療機関で、住所情報が不一致の患者が顔CRで受付したところ、資格確認エラー及び保留文書一覧取得エラーが発生した。
■目的
引っ越しなどで住所変更があった場合でも問題なく、診療情報提供書の連携ができるようにすること。</t>
    <phoneticPr fontId="2"/>
  </si>
  <si>
    <t>引っ越しなどで住所変更があった場合でも問題なく、診療情報提供書の連携ができる</t>
    <phoneticPr fontId="2"/>
  </si>
  <si>
    <t>■要求事項１
・機能：資格確認の制御
・内容：住所不一致あるいはカナ氏名・漢字氏名いずれかの不一致であっても、オンライン資格確認システム上の資格確認が正常処理できるようにする。
■備考
顔CRの改修が可能なのは最短R８年以降となる。(次期顔CRの整備過渡期のため）そのため、B案の恒久対応（患者情報不一致の旨のエラー表示）はR８年度以降の実装となる。</t>
    <rPh sb="91" eb="93">
      <t>ビコウ</t>
    </rPh>
    <phoneticPr fontId="2"/>
  </si>
  <si>
    <t>引っ越しなどで住基上の住所と中間サーバーの住所とで不一致が生じた場合、患者本人の落ち度ではないにも関わらず、「資格確認」も「保留文書の同意」もできなくなり、紹介先医療機関で診療情報提供書の確認ができなくなってしまう可能性がある。</t>
    <phoneticPr fontId="2"/>
  </si>
  <si>
    <t>資格確認の制御</t>
    <phoneticPr fontId="2"/>
  </si>
  <si>
    <t>住所不一致あるいはカナ氏名・漢字氏名いずれかの不一致であっても、オンライン資格確認システム上の資格確認が正常処理できるようにする。
■備考
顔CRの改修が可能なのは最短R８年以降となる。(次期顔CRの整備過渡期のため）そのため、B案の恒久対応（患者情報不一致の旨のエラー表示）はR８年度以降の実装となる。</t>
    <phoneticPr fontId="2"/>
  </si>
  <si>
    <t>2025/7/9
※要件修正
2025/8/8※ステークホルダーステータス更新</t>
    <phoneticPr fontId="2"/>
  </si>
  <si>
    <t>086</t>
  </si>
  <si>
    <t>086_03</t>
  </si>
  <si>
    <t>■起票背景
現行、オンライン資格確認時に、「J-LISに登録されている住基上の５情報（漢字氏名、カナ氏名、生年月日、性別、住所）」と、「中間サーバーに登録済の加入者情報」とを突合して、住所情報が不一致だった場合には、資格確認はできるが、医療情報閲覧は不可とする制御を行っている。
一方で、モデル事業医療機関で、住所情報が不一致の患者が顔CRで受付したところ、資格確認エラー及び保留文書一覧取得エラーが発生した。
■目的
引っ越しなどで住所変更があった場合でも問題なく、診療情報提供書の連携ができるようにすること。</t>
  </si>
  <si>
    <t>引っ越しなどで住所変更があった場合でも問題なく、診療情報提供書の連携ができる</t>
  </si>
  <si>
    <r>
      <rPr>
        <strike/>
        <sz val="10"/>
        <color theme="6"/>
        <rFont val="Meiryo UI"/>
        <family val="3"/>
        <charset val="128"/>
      </rPr>
      <t xml:space="preserve">※要求事項２については、A・Bのいずれかの案とする想定
■要求事項２ーA
・機能：患者情報不一致時の顔認証付きカードリーダーの閲覧保留文書一覧の取得機能
・内容：住所不一致あるいはカナ氏名・漢字氏名いずれかの不一致であっても、電子カルテ情報共有サービスから該当する閲覧保留文書を取得できるようにする。
（その後は、従来通り、顔認証付きカードリーダーで同意選択のうえ、閲覧同意された文書については紹介先医療機関が取得できる）
</t>
    </r>
    <r>
      <rPr>
        <sz val="10"/>
        <color rgb="FFFF0000"/>
        <rFont val="Meiryo UI"/>
        <family val="3"/>
      </rPr>
      <t xml:space="preserve">
■要求事項２ーB
暫定対応
・機能：患者情報不一致時の顔認証付きカードリーダーにおける閲覧保留文書への同意画面非表示
・内容：現状のまま、住所不一致あるいはカナ氏名・漢字氏名いずれかの不一致である場合、閲覧保留文書があっても顔認証付きカードリーダーで閲覧保留文書への同意選択画面は出ない。
（閲覧同意されないため、該当文書は閲覧保留のままであり、当該患者の文書について紹介先医療機関は取得できない）
恒久対応（R8年度以降）
・機能：顔認証付きカードリーダーにおける閲覧保留文書への同意画面非表示・患者情報不一致のため閲覧保留文書への同意選択ができない旨のエラー表示
・内容：住所不一致あるいはカナ氏名・漢字氏名いずれかの不一致である場合、顔認証付きカードリーダーでは、患者情報が不一致のため閲覧保留文書への同意選択ができない旨のエラーを表示する。
■備考
顔CRの改修が可能なのは最短R８年以降となる。(次期顔CRの整備過渡期のため）そのため、B案の恒久対応（患者情報不一致の旨のエラー表示）はR８年度以降の実装となる。</t>
    </r>
    <rPh sb="591" eb="593">
      <t>ビコウ</t>
    </rPh>
    <phoneticPr fontId="2"/>
  </si>
  <si>
    <t>引っ越しなどで住基上の住所と中間サーバーの住所とで不一致が生じた場合、患者本人の落ち度ではないにも関わらず、「資格確認」も「保留文書の同意」もできなくなり、紹介先医療機関で診療情報提供書の確認ができなくなってしまう可能性がある。</t>
  </si>
  <si>
    <t>患者情報不一致時の顔認証付きカードリーダーの閲覧保留文書一覧の取得機能</t>
    <phoneticPr fontId="2"/>
  </si>
  <si>
    <r>
      <rPr>
        <sz val="10"/>
        <color theme="6"/>
        <rFont val="Meiryo UI"/>
        <family val="3"/>
        <charset val="128"/>
      </rPr>
      <t>案Bを採用するため案Aは取り下げ</t>
    </r>
    <r>
      <rPr>
        <strike/>
        <sz val="10"/>
        <color rgb="FFFF0000"/>
        <rFont val="Meiryo UI"/>
        <family val="3"/>
        <charset val="128"/>
      </rPr>
      <t xml:space="preserve">
住所不一致あるいはカナ氏名・漢字氏名いずれかの不一致であっても、電子カルテ情報共有サービスから該当する閲覧保留文書を取得できるようにする。
（その後は、従来通り、顔認証付きカードリーダーで同意選択のうえ、閲覧同意された文書については紹介先医療機関が取得できる）
■備考
顔CRの改修が可能なのは最短R８年以降となる。(次期顔CRの整備過渡期のため）そのため、B案の恒久対応（患者情報不一致の旨のエラー表示）はR８年度以降の実装となる。</t>
    </r>
    <rPh sb="0" eb="1">
      <t>アン</t>
    </rPh>
    <rPh sb="3" eb="5">
      <t>サイヨウ</t>
    </rPh>
    <rPh sb="9" eb="10">
      <t>アン</t>
    </rPh>
    <rPh sb="12" eb="13">
      <t>ト</t>
    </rPh>
    <rPh sb="14" eb="15">
      <t>サ</t>
    </rPh>
    <phoneticPr fontId="2"/>
  </si>
  <si>
    <t>086_04</t>
  </si>
  <si>
    <r>
      <rPr>
        <strike/>
        <sz val="10"/>
        <color theme="6"/>
        <rFont val="Meiryo UI"/>
        <family val="3"/>
        <charset val="128"/>
      </rPr>
      <t xml:space="preserve">※要求事項２については、A・Bのいずれかの案とする想定
■要求事項２ーA
・機能：患者情報不一致時の顔認証付きカードリーダーの閲覧保留文書一覧の取得機能
・内容：住所不一致あるいはカナ氏名・漢字氏名いずれかの不一致であっても、電子カルテ情報共有サービスから該当する閲覧保留文書を取得できるようにする。
（その後は、従来通り、顔認証付きカードリーダーで同意選択のうえ、閲覧同意された文書については紹介先医療機関が取得できる）
</t>
    </r>
    <r>
      <rPr>
        <sz val="10"/>
        <color rgb="FFFF0000"/>
        <rFont val="Meiryo UI"/>
        <family val="3"/>
      </rPr>
      <t xml:space="preserve">
■要求事項２ーB
暫定対応
・機能：患者情報不一致時の顔認証付きカードリーダーにおける閲覧保留文書への同意画面非表示
・内容：現状のまま、住所不一致あるいはカナ氏名・漢字氏名いずれかの不一致である場合、閲覧保留文書があっても顔認証付きカードリーダーで閲覧保留文書への同意選択画面は出ない。（閲覧同意されないため、該当文書は閲覧保留のままであり、当該患者の文書について紹介先医療機関は取得できない）
恒久対応（R8年度以降）
・機能：顔認証付きカードリーダーにおける閲覧保留文書への同意画面非表示・患者情報不一致のため閲覧保留文書への同意選択ができない旨のエラー表示
・内容：住所不一致あるいはカナ氏名・漢字氏名いずれかの不一致である場合、顔認証付きカードリーダーでは、患者情報が不一致のため閲覧保留文書への同意選択ができない旨のエラーを表示する。
■備考
暫定対応では、もし当該患者についての文書が本サービスに登録されていた場合紹介先で取得することができないが、別の手段（FAX）で再送してもらうなど運用で対処する。
顔CRの改修が可能なのは最短R８年以降となる。(次期顔CRの整備過渡期のため）そのため、B案の恒久対応（患者情報不一致の旨のエラー表示）はR８年度以降の実装となる。</t>
    </r>
    <rPh sb="589" eb="591">
      <t>ビコウ</t>
    </rPh>
    <phoneticPr fontId="2"/>
  </si>
  <si>
    <t>患者情報不一致時の顔認証付きカードリーダーにおける閲覧保留文書への同意画面非表示</t>
    <phoneticPr fontId="2"/>
  </si>
  <si>
    <t>暫定対応
・機能：患者情報不一致時の顔認証付きカードリーダーにおける閲覧保留文書への同意画面非表示
・内容：現状のまま、住所不一致あるいはカナ氏名・漢字氏名いずれかの不一致である場合、閲覧保留文書があっても顔認証付きカードリーダーで閲覧保留文書への同意選択画面は出ない。（閲覧同意されないため、該当文書は閲覧保留のままであり、当該患者の文書について紹介先医療機関は取得できない）
■備考
暫定対応では、もし当該患者についての文書が本サービスに登録されていた場合紹介先で取得することができないが、別の手段（FAX）で再送してもらうなど運用で対処する。
顔CRの改修が可能なのは最短R８年以降となる。(次期顔CRの整備過渡期のため）そのため、B案の恒久対応（患者情報不一致の旨のエラー表示）はR８年度以降の実装となる。
※恒久対応（R8年度以降）
・機能：顔認証付きカードリーダーにおける閲覧保留文書への同意画面非表示・患者情報不一致のため閲覧保留文書への同意選択ができない旨のエラー表示
・内容：住所不一致あるいはカナ氏名・漢字氏名いずれかの不一致である場合、顔認証付きカードリーダーでは、患者情報が不一致のため閲覧保留文書への同意選択ができない旨のエラーを表示する。</t>
    <rPh sb="196" eb="200">
      <t>ザンテイタイオウ</t>
    </rPh>
    <rPh sb="205" eb="209">
      <t>トウガイカンジャ</t>
    </rPh>
    <rPh sb="214" eb="216">
      <t>ブンショ</t>
    </rPh>
    <rPh sb="217" eb="218">
      <t>ホン</t>
    </rPh>
    <rPh sb="223" eb="225">
      <t>トウロク</t>
    </rPh>
    <rPh sb="230" eb="232">
      <t>バアイ</t>
    </rPh>
    <rPh sb="232" eb="235">
      <t>ショウカイサキ</t>
    </rPh>
    <rPh sb="236" eb="238">
      <t>シュトク</t>
    </rPh>
    <rPh sb="249" eb="250">
      <t>ベツ</t>
    </rPh>
    <rPh sb="251" eb="253">
      <t>シュダン</t>
    </rPh>
    <rPh sb="259" eb="261">
      <t>サイソウ</t>
    </rPh>
    <rPh sb="268" eb="270">
      <t>ウンヨウ</t>
    </rPh>
    <rPh sb="271" eb="273">
      <t>タイショ</t>
    </rPh>
    <phoneticPr fontId="2"/>
  </si>
  <si>
    <t>087</t>
  </si>
  <si>
    <t>087_01</t>
  </si>
  <si>
    <t>健診実施日に有効な被保番が複数存在する場合の対処</t>
    <rPh sb="22" eb="24">
      <t>タイショ</t>
    </rPh>
    <phoneticPr fontId="3"/>
  </si>
  <si>
    <t>■起票背景
関連課題ID010（古い被保番対応）の実装方式の検討を進める中で、健診受診日時点で複数の有効な保険者が存在する場合に、正しい保険者を識別できないケースがあることを検知。
■目的
電子カルテ情報共有サービスから提供する健診情報が確実に実施主体である保険者にのみ連携できるようにする。</t>
    <phoneticPr fontId="2"/>
  </si>
  <si>
    <t>取り下げ理由：当該案件については、7月リリース案件で実装済みのため（6/11 12月リリース案件整理打ち合わせにて取り下げ確認）</t>
    <rPh sb="0" eb="1">
      <t>ト</t>
    </rPh>
    <rPh sb="2" eb="3">
      <t>サ</t>
    </rPh>
    <rPh sb="4" eb="6">
      <t>リユウ</t>
    </rPh>
    <rPh sb="7" eb="9">
      <t>トウガイ</t>
    </rPh>
    <rPh sb="9" eb="11">
      <t>アンケン</t>
    </rPh>
    <rPh sb="18" eb="19">
      <t>ガツ</t>
    </rPh>
    <rPh sb="23" eb="25">
      <t>アンケン</t>
    </rPh>
    <rPh sb="26" eb="28">
      <t>ジッソウ</t>
    </rPh>
    <rPh sb="28" eb="29">
      <t>ズ</t>
    </rPh>
    <rPh sb="57" eb="58">
      <t>ト</t>
    </rPh>
    <rPh sb="59" eb="60">
      <t>サ</t>
    </rPh>
    <rPh sb="61" eb="63">
      <t>カクニン</t>
    </rPh>
    <phoneticPr fontId="2"/>
  </si>
  <si>
    <t xml:space="preserve">■要求事項
機能：アドオンチェック機能
内容：オンライン資格確認システムを介して健診実施日時点で有効な被保険者番号が２つ以上確認あるかどうかをチェックする。該当した場合はエラーとする。
■備考
誤って登録している保険者が中間サーバーに修正処理を行えば、データ登録できるようになるのか要確認。
</t>
    <phoneticPr fontId="2"/>
  </si>
  <si>
    <t>現行のシステム仕様だと健診を実施した保険者であるかどうかの担保が取れず、実際の健診実施保険者と異なる保険者に誤送信されるリスクがある。</t>
    <phoneticPr fontId="2"/>
  </si>
  <si>
    <t>オンライン資格確認システムを介して健診実施日時点で有効な被保険者番号が２つ以上確認あるかどうかをチェックする。該当した場合はエラーとする。
■備考
誤って登録している保険者が中間サーバーに修正処理を行えば、データ登録できるようになるのか要確認。</t>
    <phoneticPr fontId="2"/>
  </si>
  <si>
    <r>
      <t>「備考」（ｗ列）に取り下げ理由を記載お願いしたい　</t>
    </r>
    <r>
      <rPr>
        <sz val="10"/>
        <color rgb="FFFF0000"/>
        <rFont val="Meiryo UI"/>
        <family val="3"/>
        <charset val="128"/>
      </rPr>
      <t>★ToDo厚労省</t>
    </r>
    <rPh sb="1" eb="3">
      <t>ビコウ</t>
    </rPh>
    <rPh sb="6" eb="7">
      <t>レツ</t>
    </rPh>
    <rPh sb="9" eb="10">
      <t>ト</t>
    </rPh>
    <rPh sb="11" eb="12">
      <t>サ</t>
    </rPh>
    <rPh sb="13" eb="15">
      <t>リユウ</t>
    </rPh>
    <rPh sb="16" eb="18">
      <t>キサイ</t>
    </rPh>
    <rPh sb="19" eb="20">
      <t>ネガ</t>
    </rPh>
    <rPh sb="30" eb="32">
      <t>コウロウ</t>
    </rPh>
    <rPh sb="32" eb="33">
      <t>ショウ</t>
    </rPh>
    <phoneticPr fontId="2"/>
  </si>
  <si>
    <t>088</t>
  </si>
  <si>
    <t>088_01</t>
  </si>
  <si>
    <t>臨床情報で規定されたプロファイル以外で登録できないようにするためのバリデーションチェック</t>
    <rPh sb="0" eb="4">
      <t>リンショウジョウホウ</t>
    </rPh>
    <rPh sb="5" eb="7">
      <t>キテイ</t>
    </rPh>
    <rPh sb="16" eb="18">
      <t>イガイ</t>
    </rPh>
    <rPh sb="19" eb="21">
      <t>トウロク</t>
    </rPh>
    <phoneticPr fontId="3"/>
  </si>
  <si>
    <t>臨床情報で規定されたプロファイル以外で登録できないようにする</t>
    <rPh sb="0" eb="4">
      <t>リンショウジョウホウ</t>
    </rPh>
    <rPh sb="5" eb="7">
      <t>キテイ</t>
    </rPh>
    <rPh sb="16" eb="18">
      <t>イガイ</t>
    </rPh>
    <rPh sb="19" eb="21">
      <t>トウロク</t>
    </rPh>
    <phoneticPr fontId="3"/>
  </si>
  <si>
    <t>■起票背景
ONS問い合わせ起因で、検査・感染症情報の記述をObservation_Commonで登録してもObservation_LabResult_eCSと同じ処理がされることを検知。
■目的
電子カルテ情報共有サービスとして規定しているプロファイルが適切に使用されるようにする。</t>
    <phoneticPr fontId="2"/>
  </si>
  <si>
    <t>大江先生：済（プロファイル修正依頼済）</t>
    <rPh sb="0" eb="4">
      <t>オオエセンセイ</t>
    </rPh>
    <rPh sb="5" eb="6">
      <t>スミ</t>
    </rPh>
    <rPh sb="13" eb="18">
      <t>シュウセイイライスミ</t>
    </rPh>
    <phoneticPr fontId="2"/>
  </si>
  <si>
    <t>取り下げ理由：プロファイルで対応する方針となったため。（7/10 厚労省Teams）</t>
    <rPh sb="0" eb="1">
      <t>ト</t>
    </rPh>
    <rPh sb="2" eb="3">
      <t>サ</t>
    </rPh>
    <rPh sb="4" eb="6">
      <t>リユウ</t>
    </rPh>
    <rPh sb="14" eb="16">
      <t>タイオウ</t>
    </rPh>
    <rPh sb="18" eb="20">
      <t>ホウシン</t>
    </rPh>
    <rPh sb="33" eb="36">
      <t>コウロウショウ</t>
    </rPh>
    <phoneticPr fontId="2"/>
  </si>
  <si>
    <t>■要求事項
・機能：アドオンチェック機能
・内容：感染症・検査情報のデータ登録時にObservation_LabResult_eCS以外のプロファイルを用いている場合は、バリデーションチェックでエラー返却する。
■備考
本要求事項は、もともとの仕様通りにできていない事項への対応であり、新規要件の追加ではないと厚労省は認識している。</t>
    <rPh sb="108" eb="110">
      <t>ビコウ</t>
    </rPh>
    <phoneticPr fontId="2"/>
  </si>
  <si>
    <t>電子カルテ情報共有サービスのサービス仕様として規定している、Observation_LabResult_eCSを使用しなくてもデータ登録できてしまうため、本サービスで要求している仕様(多重度や制約等)を担保できない。</t>
    <phoneticPr fontId="2"/>
  </si>
  <si>
    <t>感染症・検査情報のデータ登録時にObservation_LabResult_eCS以外のプロファイルを用いている場合は、バリデーションチェックでエラー返却する。
■備考
本要求事項は、もともとの仕様通りにできていない事項への対応であり、新規要件の追加ではないと厚労省は認識している。</t>
    <phoneticPr fontId="2"/>
  </si>
  <si>
    <t>089</t>
  </si>
  <si>
    <t>089_01</t>
  </si>
  <si>
    <t>検査情報の基準値を複数登録できないようにするためのバリデーションチェック</t>
    <rPh sb="0" eb="2">
      <t>ケンサ</t>
    </rPh>
    <rPh sb="2" eb="4">
      <t>ジョウホウ</t>
    </rPh>
    <rPh sb="5" eb="8">
      <t>キジュンチ</t>
    </rPh>
    <rPh sb="9" eb="11">
      <t>フクスウ</t>
    </rPh>
    <rPh sb="11" eb="13">
      <t>トウロク</t>
    </rPh>
    <phoneticPr fontId="3"/>
  </si>
  <si>
    <t>基準値を複数登録できないようにする</t>
    <phoneticPr fontId="2"/>
  </si>
  <si>
    <t>■起票背景
現状、基準値(Observation.referenceRange)の多重度が「0..*」となっており複数登録可能な仕様になっている。
基準値を複数登録する例としては
・１つの検査項目で、男女で異なる基準値を記述する
・１つの検査項目に対して、正常基準値範囲と異常基準値範囲をそれぞれ記述する
といった例が考えられる。
一方、臨床情報PDF帳票にはその患者の性別・年齢に応じた、正常値基準値・基準値範囲1つを出力することを想定している。
■目的
感染症・検査情報については、１つの正常基準値・基準値範囲のみを登録できるようにする。</t>
  </si>
  <si>
    <t>案件084と重複している可能性があるため要確認。(必要であればどちらかに統一する)
⇒本課題に統一済み</t>
    <rPh sb="43" eb="44">
      <t>ホン</t>
    </rPh>
    <rPh sb="44" eb="46">
      <t>カダイ</t>
    </rPh>
    <rPh sb="47" eb="49">
      <t>トウイツ</t>
    </rPh>
    <rPh sb="49" eb="50">
      <t>ズ</t>
    </rPh>
    <phoneticPr fontId="2"/>
  </si>
  <si>
    <t>基準値の多重度が「0..*」となっているため、複数の基準値を記述できる仕様となっている。一方で、臨床情報一覧の帳票上の基準値は１つしか表示できないため、複数の基準値が入ってきた場合、誤った基準値が表示されてしまう恐れがある。</t>
    <phoneticPr fontId="2"/>
  </si>
  <si>
    <t>Observationリソースの基準値・基準値範囲は１つしか記述できない旨の制約を追加する。</t>
    <phoneticPr fontId="2"/>
  </si>
  <si>
    <t>090</t>
  </si>
  <si>
    <t>090_01</t>
  </si>
  <si>
    <t>検査結果がない場合の基準値単位チェックに係るバグ解消</t>
    <rPh sb="0" eb="4">
      <t>ケンサケッカ</t>
    </rPh>
    <rPh sb="7" eb="9">
      <t>バアイ</t>
    </rPh>
    <rPh sb="10" eb="13">
      <t>キジュンチ</t>
    </rPh>
    <rPh sb="13" eb="15">
      <t>タンイ</t>
    </rPh>
    <rPh sb="20" eb="21">
      <t>カカ</t>
    </rPh>
    <rPh sb="24" eb="26">
      <t>カイショウ</t>
    </rPh>
    <phoneticPr fontId="3"/>
  </si>
  <si>
    <t>検査結果がない場合の基準値単位チェックを正しく行えるようにする</t>
    <rPh sb="0" eb="4">
      <t>ケンサケッカ</t>
    </rPh>
    <rPh sb="7" eb="9">
      <t>バアイ</t>
    </rPh>
    <rPh sb="10" eb="13">
      <t>キジュンチ</t>
    </rPh>
    <rPh sb="13" eb="15">
      <t>タンイ</t>
    </rPh>
    <rPh sb="20" eb="21">
      <t>タダ</t>
    </rPh>
    <rPh sb="23" eb="24">
      <t>オコナ</t>
    </rPh>
    <phoneticPr fontId="3"/>
  </si>
  <si>
    <t>■起票背景
現状、プロファイルの制約条件として、基準値(Observation.referenceRange)の単位は、検査結果(Obseravation.value)の単位と完全一致しなければエラーとなる仕様となっている。
■目的
検査結果が記述されず、基準値及びその単位だけが記述されるケースの場合においても、データ登録できるようにする。</t>
    <phoneticPr fontId="2"/>
  </si>
  <si>
    <t>大江先生：済（プロファイル修正依頼済）</t>
    <rPh sb="0" eb="4">
      <t>オオエセンセイ</t>
    </rPh>
    <rPh sb="5" eb="6">
      <t>スミ</t>
    </rPh>
    <rPh sb="13" eb="15">
      <t>シュウセイ</t>
    </rPh>
    <rPh sb="15" eb="18">
      <t>イライスミ</t>
    </rPh>
    <phoneticPr fontId="2"/>
  </si>
  <si>
    <t>取り下げ理由：プロファイルで対応する方針となったため。（7/7 開発課題検討会）</t>
    <rPh sb="0" eb="1">
      <t>ト</t>
    </rPh>
    <rPh sb="2" eb="3">
      <t>サ</t>
    </rPh>
    <rPh sb="4" eb="6">
      <t>リユウ</t>
    </rPh>
    <rPh sb="14" eb="16">
      <t>タイオウ</t>
    </rPh>
    <rPh sb="18" eb="20">
      <t>ホウシン</t>
    </rPh>
    <rPh sb="32" eb="34">
      <t>カイハツ</t>
    </rPh>
    <rPh sb="34" eb="36">
      <t>カダイ</t>
    </rPh>
    <rPh sb="36" eb="38">
      <t>ケントウ</t>
    </rPh>
    <rPh sb="38" eb="39">
      <t>カイ</t>
    </rPh>
    <phoneticPr fontId="2"/>
  </si>
  <si>
    <t>■要求事項（検討中）
・機能：ベースチェックorアドオンチェック
・内容：検査結果が未記録、かつ、特定のステータス(Registered(結果未着)、Preliminary(暫定結果報告)、cancelled(検査中止)である場合に限って、単位不一致が許容されるようにチェックロジックを修正もしくは追加する。</t>
    <phoneticPr fontId="2"/>
  </si>
  <si>
    <t>基準値は検査項目に応じてデフォルト記述された場合で、且つステータスが未着や中間等で、検査結果とその単位が空白だった場合に、完全一致条件の要件を満たせず、エラーとなってしまう。</t>
    <phoneticPr fontId="2"/>
  </si>
  <si>
    <t>(検討中)
検査結果が未記録、かつ、特定のステータス(Registered(結果未着)、Preliminary(暫定結果報告)、cancelled(検査中止)である場合に限って、単位不一致が許容されるようにチェックロジックを修正もしくは追加する。</t>
    <rPh sb="1" eb="3">
      <t>ケントウ</t>
    </rPh>
    <rPh sb="3" eb="4">
      <t>チュウ</t>
    </rPh>
    <phoneticPr fontId="2"/>
  </si>
  <si>
    <t>091</t>
  </si>
  <si>
    <t>091_01</t>
  </si>
  <si>
    <r>
      <t>傷病名のClinical StatusをPDF帳票</t>
    </r>
    <r>
      <rPr>
        <strike/>
        <sz val="10"/>
        <color rgb="FFFF0000"/>
        <rFont val="Meiryo UI"/>
        <family val="3"/>
        <charset val="128"/>
      </rPr>
      <t>・マイナポータルに</t>
    </r>
    <r>
      <rPr>
        <sz val="10"/>
        <color rgb="FFFF0000"/>
        <rFont val="Meiryo UI"/>
        <family val="3"/>
        <charset val="128"/>
      </rPr>
      <t>表示するレイアウト変更</t>
    </r>
    <phoneticPr fontId="2"/>
  </si>
  <si>
    <r>
      <t>傷病名のClinical StatusをPDF帳票(医療機関向けのPDFのみ、マイナポータルに表示するPDFは変更しない)</t>
    </r>
    <r>
      <rPr>
        <strike/>
        <sz val="10"/>
        <color rgb="FFFF0000"/>
        <rFont val="Meiryo UI"/>
        <family val="3"/>
        <charset val="128"/>
      </rPr>
      <t>・マイナポータル</t>
    </r>
    <r>
      <rPr>
        <sz val="10"/>
        <color rgb="FFFF0000"/>
        <rFont val="Meiryo UI"/>
        <family val="3"/>
        <charset val="128"/>
      </rPr>
      <t>に表示するレイアウト変更する</t>
    </r>
    <rPh sb="26" eb="28">
      <t>イリョウ</t>
    </rPh>
    <rPh sb="28" eb="30">
      <t>キカン</t>
    </rPh>
    <rPh sb="30" eb="31">
      <t>ム</t>
    </rPh>
    <rPh sb="47" eb="49">
      <t>ヒョウジ</t>
    </rPh>
    <rPh sb="55" eb="57">
      <t>ヘンコウ</t>
    </rPh>
    <phoneticPr fontId="2"/>
  </si>
  <si>
    <t>■起票背景
現行、傷病名については、ClinicalStatusの内容は関係なく、帳票に出力される仕様となっている。
■目的
帳票上から、傷病名のステータスが把握できるようにする。</t>
    <phoneticPr fontId="2"/>
  </si>
  <si>
    <t>マイナポータル：不要</t>
    <rPh sb="8" eb="10">
      <t>フヨウ</t>
    </rPh>
    <phoneticPr fontId="2"/>
  </si>
  <si>
    <r>
      <t>■要求事項
・対象：医療機関向けPDFのみ　</t>
    </r>
    <r>
      <rPr>
        <sz val="10"/>
        <color theme="6"/>
        <rFont val="Meiryo UI"/>
        <family val="3"/>
        <charset val="128"/>
      </rPr>
      <t>※マイナポータル向けPDFは現状のまま（clinicalstatus(active,unknown,remission.resolved)を表示しない）</t>
    </r>
    <r>
      <rPr>
        <sz val="10"/>
        <color rgb="FFFF0000"/>
        <rFont val="Meiryo UI"/>
        <family val="3"/>
        <charset val="128"/>
      </rPr>
      <t xml:space="preserve">
・機能：臨床情報閲覧機能
・内容：PDF帳票の病名欄・終了病名欄に「</t>
    </r>
    <r>
      <rPr>
        <strike/>
        <sz val="10"/>
        <color rgb="FFFF0000"/>
        <rFont val="Meiryo UI"/>
        <family val="3"/>
        <charset val="128"/>
      </rPr>
      <t>臨床ステータス</t>
    </r>
    <r>
      <rPr>
        <sz val="10"/>
        <color rgb="FF00B0F0"/>
        <rFont val="Meiryo UI"/>
        <family val="3"/>
        <charset val="128"/>
      </rPr>
      <t>臨床的状態</t>
    </r>
    <r>
      <rPr>
        <sz val="10"/>
        <color rgb="FFFF0000"/>
        <rFont val="Meiryo UI"/>
        <family val="3"/>
        <charset val="128"/>
      </rPr>
      <t>」を表示できるようにする。</t>
    </r>
    <r>
      <rPr>
        <sz val="10"/>
        <color theme="6"/>
        <rFont val="Meiryo UI"/>
        <family val="3"/>
        <charset val="128"/>
      </rPr>
      <t>そして、clinicalstatus(active,unknown,remission.resolved)がいずれかにかかわらず、ステータスを表示させる。</t>
    </r>
    <r>
      <rPr>
        <sz val="10"/>
        <color rgb="FFFF0000"/>
        <rFont val="Meiryo UI"/>
        <family val="3"/>
        <charset val="128"/>
      </rPr>
      <t xml:space="preserve">
■備考
</t>
    </r>
    <r>
      <rPr>
        <strike/>
        <sz val="10"/>
        <color theme="6"/>
        <rFont val="Meiryo UI"/>
        <family val="3"/>
        <charset val="128"/>
      </rPr>
      <t>・終了病名欄には、「臨床ステータス」のカラム追加は不要。
・マイナポータル向けPDFは現状のまま（clinicalstatus(active,unknown,remission.resolved)を表示しない）としたいため、「未告知フラグ」の表示のように、医療機関向けPDFとマイナポータル向けPDFの表示を変更できるようなレイアウトとする。</t>
    </r>
    <r>
      <rPr>
        <sz val="10"/>
        <color theme="6"/>
        <rFont val="Meiryo UI"/>
        <family val="3"/>
        <charset val="128"/>
      </rPr>
      <t xml:space="preserve">
</t>
    </r>
    <r>
      <rPr>
        <sz val="10"/>
        <color rgb="FFFF0000"/>
        <rFont val="Meiryo UI"/>
        <family val="3"/>
        <charset val="128"/>
      </rPr>
      <t>・細かい表示文言は今後検討予定
・現行の臨床情報の帳票仕様としては、ConditionリソースにabatmentDatetimeが入っているか否かで、臨床情報一覧の「病名」と「終了病名」を振り分けている。</t>
    </r>
    <r>
      <rPr>
        <sz val="10"/>
        <color rgb="FF00B0F0"/>
        <rFont val="Meiryo UI"/>
        <family val="3"/>
        <charset val="128"/>
      </rPr>
      <t xml:space="preserve">
・XMLレイアウトの表示も「臨床的状態」に修正する。</t>
    </r>
    <phoneticPr fontId="2"/>
  </si>
  <si>
    <t>現行の帳票上は、ClinicalStatusを表示させていないため、ClinicalStatusが「Active」なのか「Unknown」なのかが識別できない。</t>
    <phoneticPr fontId="2"/>
  </si>
  <si>
    <t>臨床情報閲覧機能</t>
    <phoneticPr fontId="2"/>
  </si>
  <si>
    <r>
      <rPr>
        <sz val="10"/>
        <color theme="6"/>
        <rFont val="Meiryo UI"/>
        <family val="3"/>
        <charset val="128"/>
      </rPr>
      <t>・対象：医療機関向けPDFのみ　※マイナポータル向けPDFは現状のまま（clinicalstatus(active,unknown,remission.resolved)を表示しない）</t>
    </r>
    <r>
      <rPr>
        <sz val="10"/>
        <color rgb="FF8BE1FF"/>
        <rFont val="Meiryo UI"/>
        <family val="3"/>
        <charset val="128"/>
      </rPr>
      <t xml:space="preserve">
</t>
    </r>
    <r>
      <rPr>
        <sz val="10"/>
        <color rgb="FFFF0000"/>
        <rFont val="Meiryo UI"/>
        <family val="3"/>
        <charset val="128"/>
      </rPr>
      <t>・内容：PDF帳票の病名欄・終了病名欄に「</t>
    </r>
    <r>
      <rPr>
        <strike/>
        <sz val="10"/>
        <color rgb="FFFF0000"/>
        <rFont val="Meiryo UI"/>
        <family val="3"/>
        <charset val="128"/>
      </rPr>
      <t>臨床ステータス</t>
    </r>
    <r>
      <rPr>
        <sz val="10"/>
        <color rgb="FF00B0F0"/>
        <rFont val="Meiryo UI"/>
        <family val="3"/>
        <charset val="128"/>
      </rPr>
      <t>臨床的状態</t>
    </r>
    <r>
      <rPr>
        <sz val="10"/>
        <color rgb="FFFF0000"/>
        <rFont val="Meiryo UI"/>
        <family val="3"/>
        <charset val="128"/>
      </rPr>
      <t>」を表示できるようにする。</t>
    </r>
    <r>
      <rPr>
        <sz val="10"/>
        <color theme="6"/>
        <rFont val="Meiryo UI"/>
        <family val="3"/>
        <charset val="128"/>
      </rPr>
      <t>そして、clinicalstatus(active,unknown,remission.resolved)がいずれかにかかわらず、ステータスを表示させる。</t>
    </r>
    <r>
      <rPr>
        <sz val="10"/>
        <color rgb="FFFF0000"/>
        <rFont val="Meiryo UI"/>
        <family val="3"/>
        <charset val="128"/>
      </rPr>
      <t xml:space="preserve">
■備考
</t>
    </r>
    <r>
      <rPr>
        <strike/>
        <sz val="10"/>
        <color theme="6"/>
        <rFont val="Meiryo UI"/>
        <family val="3"/>
        <charset val="128"/>
      </rPr>
      <t>・終了病名欄には、「臨床ステータス」のカラム追加は不要。
・マイナポータル向けPDFは現状のまま（clinicalstatus(active,unknown,remission.resolved)を表示しない）としたいため、「未告知フラグ」の表示のように、医療機関向けPDFとマイナポータル向けPDFの表示を変更できるようなレイアウトとする。</t>
    </r>
    <r>
      <rPr>
        <sz val="10"/>
        <color theme="6"/>
        <rFont val="Meiryo UI"/>
        <family val="3"/>
        <charset val="128"/>
      </rPr>
      <t xml:space="preserve">
</t>
    </r>
    <r>
      <rPr>
        <sz val="10"/>
        <color rgb="FFFF0000"/>
        <rFont val="Meiryo UI"/>
        <family val="3"/>
        <charset val="128"/>
      </rPr>
      <t xml:space="preserve">・細かい表示文言は今後検討。
・現行の臨床情報の帳票仕様としては、ConditionリソースにabatmentDatetimeが入っているか否かで、臨床情報一覧の「病名」と「終了病名」を振り分けている。
</t>
    </r>
    <r>
      <rPr>
        <sz val="10"/>
        <color rgb="FF00B0F0"/>
        <rFont val="Meiryo UI"/>
        <family val="3"/>
        <charset val="128"/>
      </rPr>
      <t>・XMLレイアウトの表示も「臨床的状態」に修正する。</t>
    </r>
    <rPh sb="121" eb="126">
      <t>リンショウテキジョウタイ</t>
    </rPh>
    <rPh sb="398" eb="400">
      <t>ヒョウジ</t>
    </rPh>
    <rPh sb="506" eb="508">
      <t>ヒョウジ</t>
    </rPh>
    <rPh sb="510" eb="515">
      <t>リンショウテキジョウタイ</t>
    </rPh>
    <rPh sb="517" eb="519">
      <t>シュウセイ</t>
    </rPh>
    <phoneticPr fontId="2"/>
  </si>
  <si>
    <r>
      <t xml:space="preserve">10月リリース案件として調整予定。(調達は12月リリース案件併せて実施予定)
</t>
    </r>
    <r>
      <rPr>
        <sz val="10"/>
        <color rgb="FFFF0000"/>
        <rFont val="Meiryo UI"/>
        <family val="3"/>
        <charset val="128"/>
      </rPr>
      <t>→認識相違なし</t>
    </r>
    <rPh sb="2" eb="3">
      <t>ガツ</t>
    </rPh>
    <rPh sb="7" eb="9">
      <t>アンケン</t>
    </rPh>
    <rPh sb="12" eb="14">
      <t>チョウセイ</t>
    </rPh>
    <rPh sb="14" eb="16">
      <t>ヨテイ</t>
    </rPh>
    <rPh sb="40" eb="42">
      <t>ニンシキ</t>
    </rPh>
    <rPh sb="42" eb="44">
      <t>ソウイ</t>
    </rPh>
    <phoneticPr fontId="2"/>
  </si>
  <si>
    <t>092</t>
  </si>
  <si>
    <t>092_01</t>
  </si>
  <si>
    <t>コードチェックに係るベースチェックで発生する不要なWarning表示の制御</t>
    <rPh sb="8" eb="9">
      <t>カカ</t>
    </rPh>
    <rPh sb="18" eb="20">
      <t>ハッセイ</t>
    </rPh>
    <rPh sb="22" eb="24">
      <t>フヨウ</t>
    </rPh>
    <phoneticPr fontId="2"/>
  </si>
  <si>
    <t>ベースチェックのWarning表示を制御する</t>
    <phoneticPr fontId="2"/>
  </si>
  <si>
    <t>■起票背景
現行、標準マスタのコードに関するバリデーションチェックは、ベースチェックを行った後に、アドオンチェックを走らせ、ベースチェックの結果に上書きする形で処理を行っている。そのため、ベースチェックでWarningが出た後に、アドオンチェックがSuccessとなればデータ登録可能という仕様になっている。
&lt;詳細&gt;
現状、標準マスタのチェックは、タイムリーなTerminologyの更新ができないことを想定して、現在、以下の2つで実装している。
１）アドオンチェック：タイムリーに更新されるマスタを用いる　
２）ベースチェック  ：プロファイル取り込み時に更新されるTerminologyを用いる
そのため、Terminologyの取り込み前に、アドオンチェックのマスタが更新されると、不要な「ワーニング」が医療機関に返却されてしまう状況（ONSから問い合わせが来ている状況）
■目的
医療機関等システム側で対応不要なWarningを表示されないようにする。</t>
    <phoneticPr fontId="2"/>
  </si>
  <si>
    <t>大江先生：済（ターミノロジーのタイムリーな更新をしていただく方針で合意）</t>
    <rPh sb="0" eb="4">
      <t>オオエセンセイ</t>
    </rPh>
    <rPh sb="5" eb="6">
      <t>スミ</t>
    </rPh>
    <rPh sb="21" eb="23">
      <t>コウシン</t>
    </rPh>
    <rPh sb="30" eb="32">
      <t>ホウシン</t>
    </rPh>
    <rPh sb="33" eb="35">
      <t>ゴウイ</t>
    </rPh>
    <phoneticPr fontId="2"/>
  </si>
  <si>
    <t>取り下げ理由：運用保守で対応するため
（7/23開発課題検討会)</t>
    <rPh sb="0" eb="1">
      <t>ト</t>
    </rPh>
    <rPh sb="2" eb="3">
      <t>サ</t>
    </rPh>
    <rPh sb="4" eb="6">
      <t>リユウ</t>
    </rPh>
    <rPh sb="7" eb="9">
      <t>ウンヨウ</t>
    </rPh>
    <rPh sb="9" eb="11">
      <t>ホシュ</t>
    </rPh>
    <rPh sb="12" eb="14">
      <t>タイオウ</t>
    </rPh>
    <rPh sb="24" eb="26">
      <t>カイハツ</t>
    </rPh>
    <rPh sb="26" eb="28">
      <t>カダイ</t>
    </rPh>
    <rPh sb="28" eb="30">
      <t>ケントウ</t>
    </rPh>
    <rPh sb="30" eb="31">
      <t>カイ</t>
    </rPh>
    <phoneticPr fontId="2"/>
  </si>
  <si>
    <t>■要求事項
・機能：ベースチェック、アドオンチェック機能
・内容：標準マスタのコードチェックに関しては、ベースチェックのバリデーションチェック結果としてTerminologyに収載されている標準マスタが古いことに由来するWarning等がでても、医療機関等システムに返却しないように制御する。
■備考
上記の開発をした場合、開発影響が大きいため、暫定的には以下の運用案で対応することを検討中。
・不要なWarningが出力される旨をドキュメントベースでONSに周知する。</t>
    <phoneticPr fontId="2"/>
  </si>
  <si>
    <t>基盤側の処理としては、アドオンチェックに上書きするが、ベースチェックの照合先となるJP-FHIRターミノロジーに収載される標準マスタコードの更新タイミングが古いと、医療機関等システムにはベースチェックの結果(Warning等)が表示されてしまう。</t>
    <phoneticPr fontId="2"/>
  </si>
  <si>
    <t>標準マスタのコードチェックに関しては、ベースチェックのバリデーションチェック結果としてTerminologyに収載されている標準マスタが古いことに由来するWarning等がでても、医療機関等システムに返却しないように制御する。
■備考
上記の開発をした場合、開発影響が大きいため、暫定的には以下の運用案で対応することを検討中。
・不要なWarningが出力される旨をドキュメントベースでONSに周知する。</t>
    <phoneticPr fontId="2"/>
  </si>
  <si>
    <t>2025/8/25※MEDIS調整状況追記</t>
    <rPh sb="15" eb="21">
      <t>チョウセイジョウキョウツイキ</t>
    </rPh>
    <phoneticPr fontId="2"/>
  </si>
  <si>
    <t>093</t>
    <phoneticPr fontId="2"/>
  </si>
  <si>
    <t>093_01</t>
  </si>
  <si>
    <t>標準マスタの文字コード統一(UTF-8)</t>
    <phoneticPr fontId="2"/>
  </si>
  <si>
    <t>標準マスタの文字コードを統一(UTF-8)する</t>
    <phoneticPr fontId="2"/>
  </si>
  <si>
    <t>■起票背景
電子カルテ情報共有サービスとして、公開・提供しているマスタによって文字コードが「SJIS」と「UTF-8」が混在している。
・SJIS：傷病名、修飾語、薬剤アレルギー用コード、剤形・規格・銘柄不明コード、YJコード
・UTF-8：JFAGYコード、JLACコード、医療機関等マスタ
SJISを使っているシステムは少なくなっており、UTF-８が一般的に利用されている潮流を鑑みて統一すべき旨を医療情報の有識者から頂いている。今後本サービスが普及してからの変更では影響が大きいため、本格稼働する前のタイミングでの統一がよいと考えている。
■目的
電子カルテ情報共有サービスから提供する標準マスタファイルの文字コードは、「UTF-8」に統一する。</t>
    <phoneticPr fontId="2"/>
  </si>
  <si>
    <t>MEDIS：調達調整中
医療情報研究所：調整済み</t>
    <rPh sb="6" eb="8">
      <t>チョウタツ</t>
    </rPh>
    <rPh sb="8" eb="11">
      <t>チョウセイチュウ</t>
    </rPh>
    <rPh sb="12" eb="16">
      <t>イリョウジョウホウ</t>
    </rPh>
    <rPh sb="16" eb="19">
      <t>ケンキュウジョ</t>
    </rPh>
    <rPh sb="20" eb="22">
      <t>チョウセイ</t>
    </rPh>
    <rPh sb="22" eb="23">
      <t>ズ</t>
    </rPh>
    <phoneticPr fontId="2"/>
  </si>
  <si>
    <t>■要求事項
・機能：標準マスタ管理・提供機能
・内容：電子カルテ情報共有サービス内で管理する標準マスタを「UTF-8」とし、排するマスタも同様に「UTF-8」とする。そのため、配信ファイルレイアウトも「UTF-8」に変更する。
■備考
現状SJISで配信しているマスタの作成元(MEDISや医薬情報研究所)でSJIS形式からUTF-8に変換した上で、基金に提供されることが前提。
➡MEDISからは来年度以降の委託契約でUTF-8を追加する方向性で調整しているため、今年度分のマスタはMEDISでUTF-8に変換することはできない。</t>
    <rPh sb="200" eb="203">
      <t>ライネンド</t>
    </rPh>
    <rPh sb="203" eb="205">
      <t>イコウ</t>
    </rPh>
    <rPh sb="206" eb="210">
      <t>イタクケイヤク</t>
    </rPh>
    <rPh sb="217" eb="219">
      <t>ツイカ</t>
    </rPh>
    <rPh sb="221" eb="224">
      <t>ホウコウセイ</t>
    </rPh>
    <rPh sb="225" eb="227">
      <t>チョウセイ</t>
    </rPh>
    <rPh sb="234" eb="238">
      <t>コンネンドブン</t>
    </rPh>
    <phoneticPr fontId="2"/>
  </si>
  <si>
    <t>Unicode（UTF-8）が標準のWeb環境やAPI連携では、SJISを扱えない場合があり、文字化けやエラーの原因になる可能性がある。</t>
    <phoneticPr fontId="2"/>
  </si>
  <si>
    <t>標準マスタ管理・提供機能</t>
    <rPh sb="0" eb="2">
      <t>ヒョウジュン</t>
    </rPh>
    <rPh sb="5" eb="7">
      <t>カンリ</t>
    </rPh>
    <rPh sb="8" eb="10">
      <t>テイキョウ</t>
    </rPh>
    <rPh sb="10" eb="12">
      <t>キノウ</t>
    </rPh>
    <phoneticPr fontId="2"/>
  </si>
  <si>
    <t>電子カルテ情報共有サービス内で管理する標準マスタを「UTF-8」とし、排するマスタも同様に「UTF-8」とする。そのため、配信ファイルレイアウトも「UTF-8」に変更する。
■備考
現状SJISで配信しているマスタの作成元(MEDISや医薬情報研究所)でSJIS形式からUTF-8に変換した上で、基金に提供されることが前提。
➡MEDISからは来年度以降の委託契約でUTF-8を追加する方向性で調整しているため、今年度分のマスタはMEDISでUTF-8に変換することはできない。</t>
    <phoneticPr fontId="2"/>
  </si>
  <si>
    <t>傷病名、修飾語、薬剤アレルギー用コード、剤形・規格・銘柄不明コード、YJコード</t>
    <phoneticPr fontId="2"/>
  </si>
  <si>
    <r>
      <t xml:space="preserve">マスタ作成機関との調整状況を踏まえ、UTF-8化対象マスタは下記でよいか確認したい。
</t>
    </r>
    <r>
      <rPr>
        <sz val="10"/>
        <color rgb="FFFF0000"/>
        <rFont val="Meiryo UI"/>
        <family val="3"/>
        <charset val="128"/>
      </rPr>
      <t>→合っている　★ToDo(基金)</t>
    </r>
    <r>
      <rPr>
        <sz val="10"/>
        <rFont val="Meiryo UI"/>
        <family val="3"/>
        <charset val="128"/>
      </rPr>
      <t xml:space="preserve">
&lt;厚労省資料より&gt;
・標準病名履歴マスタ
・修飾語マスタ　　</t>
    </r>
    <r>
      <rPr>
        <sz val="10"/>
        <color rgb="FFFF0000"/>
        <rFont val="Meiryo UI"/>
        <family val="3"/>
        <charset val="128"/>
      </rPr>
      <t>※MEDISと調整事項あり</t>
    </r>
    <r>
      <rPr>
        <sz val="10"/>
        <rFont val="Meiryo UI"/>
        <family val="3"/>
        <charset val="128"/>
      </rPr>
      <t xml:space="preserve">
・薬剤アレルギー用コードマスタ
・剤形・規格・銘柄不明コードマスタ
・個別医薬品コード(YJコード)リスト</t>
    </r>
    <rPh sb="3" eb="5">
      <t>サクセイ</t>
    </rPh>
    <rPh sb="5" eb="7">
      <t>キカン</t>
    </rPh>
    <rPh sb="9" eb="11">
      <t>チョウセイ</t>
    </rPh>
    <rPh sb="11" eb="13">
      <t>ジョウキョウ</t>
    </rPh>
    <rPh sb="14" eb="15">
      <t>フ</t>
    </rPh>
    <rPh sb="23" eb="24">
      <t>カ</t>
    </rPh>
    <rPh sb="24" eb="26">
      <t>タイショウ</t>
    </rPh>
    <rPh sb="30" eb="32">
      <t>カキ</t>
    </rPh>
    <rPh sb="36" eb="38">
      <t>カクニン</t>
    </rPh>
    <rPh sb="44" eb="45">
      <t>ア</t>
    </rPh>
    <rPh sb="56" eb="58">
      <t>キキン</t>
    </rPh>
    <rPh sb="62" eb="65">
      <t>コウロウショウ</t>
    </rPh>
    <rPh sb="65" eb="67">
      <t>シリョウ</t>
    </rPh>
    <rPh sb="98" eb="100">
      <t>チョウセイ</t>
    </rPh>
    <rPh sb="100" eb="102">
      <t>ジコウ</t>
    </rPh>
    <phoneticPr fontId="2"/>
  </si>
  <si>
    <t>095</t>
  </si>
  <si>
    <t>095_01</t>
  </si>
  <si>
    <t>廃止した医療機関が登録した長期保存フラグのついた情報の取り扱い</t>
    <rPh sb="0" eb="2">
      <t>ハイシ</t>
    </rPh>
    <rPh sb="4" eb="6">
      <t>イリョウ</t>
    </rPh>
    <rPh sb="6" eb="8">
      <t>キカン</t>
    </rPh>
    <rPh sb="9" eb="11">
      <t>トウロク</t>
    </rPh>
    <rPh sb="13" eb="15">
      <t>チョウキ</t>
    </rPh>
    <rPh sb="15" eb="17">
      <t>ホゾン</t>
    </rPh>
    <rPh sb="24" eb="26">
      <t>ジョウホウ</t>
    </rPh>
    <rPh sb="27" eb="28">
      <t>ト</t>
    </rPh>
    <rPh sb="29" eb="30">
      <t>アツカ</t>
    </rPh>
    <phoneticPr fontId="3"/>
  </si>
  <si>
    <t>廃止した医療機関が登録した長期保存フラグのついた情報の取り扱うための機能を追加する</t>
    <rPh sb="0" eb="2">
      <t>ハイシ</t>
    </rPh>
    <rPh sb="4" eb="8">
      <t>イリョウキカン</t>
    </rPh>
    <rPh sb="9" eb="11">
      <t>トウロク</t>
    </rPh>
    <rPh sb="13" eb="17">
      <t>チョウキホゾン</t>
    </rPh>
    <rPh sb="24" eb="26">
      <t>ジョウホウ</t>
    </rPh>
    <rPh sb="27" eb="28">
      <t>ト</t>
    </rPh>
    <rPh sb="29" eb="30">
      <t>アツカ</t>
    </rPh>
    <rPh sb="34" eb="36">
      <t>キノウ</t>
    </rPh>
    <rPh sb="37" eb="39">
      <t>ツイカ</t>
    </rPh>
    <phoneticPr fontId="3"/>
  </si>
  <si>
    <t>■起票背景
医療機関が廃止(統廃合のための廃止も含む)されると、それまでに登録した臨床情報が更新されないままとなり、特に長期保存フラグが設定されている臨床情報はオン資のデータベースに残り続ける。
■目的
医療機関が廃止したことによって状況のアップデートがされないことに起因する閲覧者の誤認を未然に防ぐこと</t>
    <phoneticPr fontId="2"/>
  </si>
  <si>
    <t>医療機関が廃止したことによって状況のアップデートがされないことに起因する閲覧者の誤認を未然に防ぐことができる</t>
    <phoneticPr fontId="2"/>
  </si>
  <si>
    <t>作業班：済
WG:付議なし</t>
    <rPh sb="0" eb="3">
      <t>サギョウハン</t>
    </rPh>
    <rPh sb="4" eb="5">
      <t>ズミ</t>
    </rPh>
    <rPh sb="9" eb="11">
      <t>フギ</t>
    </rPh>
    <phoneticPr fontId="2"/>
  </si>
  <si>
    <t xml:space="preserve">■要求事項１
機能：臨床情報一覧出力機能
内容：オンライン資格確認の医療機関等マスタで廃止年月日がついた医療機関の名称を「【廃】○○病院」と頭にタグをつけて表示する。※本処理を実施後、医療機関が誤って廃止の申請を行っていた等で、当該医療機関が医療機関等マスタ上、廃止年月日ありから廃止年月日なしに訂正された場合は、一度行った本処理をロールバックする。
■備考
技術作業班にてどのような改修方針にするか検討予定のため、要求事項はあくまで現状の想定案。
</t>
    <phoneticPr fontId="2"/>
  </si>
  <si>
    <t>廃止した医療機関が過去に登録した情報について、明らかな疑義や情報のアップデートがあっても更新がされないため、正しい情報が把握できず、患者にとって不利益を被る可能性がある。</t>
    <phoneticPr fontId="2"/>
  </si>
  <si>
    <t>臨床情報一覧出力機能</t>
    <rPh sb="0" eb="4">
      <t>リンショウジョウホウ</t>
    </rPh>
    <rPh sb="4" eb="6">
      <t>イチラン</t>
    </rPh>
    <rPh sb="6" eb="8">
      <t>シュツリョク</t>
    </rPh>
    <rPh sb="8" eb="10">
      <t>キノウ</t>
    </rPh>
    <phoneticPr fontId="2"/>
  </si>
  <si>
    <r>
      <t>■要求事項１
機能：臨床情報一覧出力機能
内容：オンライン資格確認の医療機関等マスタで廃止年月日</t>
    </r>
    <r>
      <rPr>
        <vertAlign val="superscript"/>
        <sz val="10"/>
        <color rgb="FF00B0F0"/>
        <rFont val="Meiryo UI"/>
        <family val="3"/>
        <charset val="128"/>
      </rPr>
      <t>※1,2</t>
    </r>
    <r>
      <rPr>
        <sz val="10"/>
        <color rgb="FFFF0000"/>
        <rFont val="Meiryo UI"/>
        <family val="3"/>
        <charset val="128"/>
      </rPr>
      <t xml:space="preserve">がついた医療機関の名称を「【廃】○○病院」と頭にタグをつけて表示する。
</t>
    </r>
    <r>
      <rPr>
        <sz val="10"/>
        <color rgb="FF00B0F0"/>
        <rFont val="Meiryo UI"/>
        <family val="3"/>
        <charset val="128"/>
      </rPr>
      <t>※1：将来年月日で廃止年月日が記録されている場合は、当該廃止年月日以降に医療機関の名称を「【廃】○○病院」と頭にタグをつけて表示
※2：継承申請を行った医療機関は、廃止年月日が入力されていても【廃】をつけない。</t>
    </r>
    <r>
      <rPr>
        <sz val="10"/>
        <color rgb="FFFF0000"/>
        <rFont val="Meiryo UI"/>
        <family val="3"/>
        <charset val="128"/>
      </rPr>
      <t xml:space="preserve">
</t>
    </r>
    <r>
      <rPr>
        <strike/>
        <sz val="10"/>
        <color rgb="FFFF0000"/>
        <rFont val="Meiryo UI"/>
        <family val="3"/>
        <charset val="128"/>
      </rPr>
      <t xml:space="preserve">※本処理を実施後、医療機関が誤って廃止の申請を行っていた等で、当該医療機関が医療機関等マスタ上、廃止年月日ありから廃止年月日なしに訂正された場合は、一度行った本処理をロールバックする。
</t>
    </r>
    <r>
      <rPr>
        <sz val="10"/>
        <color rgb="FFFF0000"/>
        <rFont val="Meiryo UI"/>
        <family val="3"/>
        <charset val="128"/>
      </rPr>
      <t xml:space="preserve">
■備考
技術作業班にてどのような改修方針にするか検討予定のため、要求事項はあくまで現状の想定案。</t>
    </r>
    <rPh sb="110" eb="112">
      <t>バアイ</t>
    </rPh>
    <rPh sb="150" eb="152">
      <t>ヒョウジ</t>
    </rPh>
    <rPh sb="156" eb="158">
      <t>ケイショウ</t>
    </rPh>
    <rPh sb="158" eb="160">
      <t>シンセイ</t>
    </rPh>
    <rPh sb="161" eb="162">
      <t>オコナ</t>
    </rPh>
    <rPh sb="164" eb="166">
      <t>イリョウ</t>
    </rPh>
    <rPh sb="166" eb="168">
      <t>キカン</t>
    </rPh>
    <rPh sb="170" eb="175">
      <t>ハイシネンガッピ</t>
    </rPh>
    <rPh sb="176" eb="178">
      <t>ニュウリョク</t>
    </rPh>
    <rPh sb="185" eb="186">
      <t>ハイ</t>
    </rPh>
    <phoneticPr fontId="2"/>
  </si>
  <si>
    <t>臨床情報一覧のPDF帳票
外部IF_XMLレイアウト(備考の更新のみ)</t>
    <rPh sb="13" eb="15">
      <t>ガイブ</t>
    </rPh>
    <rPh sb="27" eb="29">
      <t>ビコウ</t>
    </rPh>
    <rPh sb="30" eb="32">
      <t>コウシン</t>
    </rPh>
    <phoneticPr fontId="2"/>
  </si>
  <si>
    <r>
      <t xml:space="preserve">地方厚生局の「廃止年月日」の誤登録が発生していることが懸念されるが問題ないか。
ND・富士通間での新規IF作成のため、設計開発に時間を要するため3月リリース案件としたい。
</t>
    </r>
    <r>
      <rPr>
        <sz val="10"/>
        <color rgb="FFFF0000"/>
        <rFont val="Meiryo UI"/>
        <family val="3"/>
        <charset val="128"/>
      </rPr>
      <t>→回答保留、技術作業班（次回7/7）に付議予定★ToDo(厚労)</t>
    </r>
    <rPh sb="0" eb="2">
      <t>チホウ</t>
    </rPh>
    <rPh sb="2" eb="4">
      <t>コウセイ</t>
    </rPh>
    <rPh sb="4" eb="5">
      <t>キョク</t>
    </rPh>
    <rPh sb="7" eb="9">
      <t>ハイシ</t>
    </rPh>
    <rPh sb="9" eb="12">
      <t>ネンガッピ</t>
    </rPh>
    <rPh sb="14" eb="15">
      <t>アヤマ</t>
    </rPh>
    <rPh sb="15" eb="17">
      <t>トウロク</t>
    </rPh>
    <rPh sb="18" eb="20">
      <t>ハッセイ</t>
    </rPh>
    <rPh sb="27" eb="29">
      <t>ケネン</t>
    </rPh>
    <rPh sb="33" eb="35">
      <t>モンダイ</t>
    </rPh>
    <rPh sb="44" eb="47">
      <t>フジツウ</t>
    </rPh>
    <rPh sb="47" eb="48">
      <t>カン</t>
    </rPh>
    <rPh sb="50" eb="52">
      <t>シンキ</t>
    </rPh>
    <rPh sb="54" eb="56">
      <t>サクセイ</t>
    </rPh>
    <rPh sb="60" eb="62">
      <t>セッケイ</t>
    </rPh>
    <rPh sb="62" eb="64">
      <t>カイハツ</t>
    </rPh>
    <rPh sb="65" eb="67">
      <t>ジカン</t>
    </rPh>
    <rPh sb="68" eb="69">
      <t>ヨウ</t>
    </rPh>
    <rPh sb="74" eb="75">
      <t>ガツ</t>
    </rPh>
    <rPh sb="79" eb="81">
      <t>アンケン</t>
    </rPh>
    <rPh sb="99" eb="101">
      <t>ジカイ</t>
    </rPh>
    <rPh sb="116" eb="118">
      <t>コウロウ</t>
    </rPh>
    <phoneticPr fontId="2"/>
  </si>
  <si>
    <t>095_02</t>
  </si>
  <si>
    <t>廃止した医療機関が登録した長期保存フラグのついた情報の取り扱い</t>
    <rPh sb="0" eb="2">
      <t>ハイシ</t>
    </rPh>
    <rPh sb="4" eb="8">
      <t>イリョウキカン</t>
    </rPh>
    <rPh sb="9" eb="11">
      <t>トウロク</t>
    </rPh>
    <rPh sb="13" eb="17">
      <t>チョウキホゾン</t>
    </rPh>
    <rPh sb="24" eb="26">
      <t>ジョウホウ</t>
    </rPh>
    <rPh sb="27" eb="28">
      <t>ト</t>
    </rPh>
    <rPh sb="29" eb="30">
      <t>アツカ</t>
    </rPh>
    <phoneticPr fontId="3"/>
  </si>
  <si>
    <t>取り下げ理由：第2回作業班にて廃止した医療機関が登録した情報に長期保存フラグが付与されていた場合、廃止した医療機関から登録されたことが分かる状態で保存する方針となったため（7/11三者定例）</t>
    <rPh sb="0" eb="1">
      <t>ト</t>
    </rPh>
    <rPh sb="2" eb="3">
      <t>サ</t>
    </rPh>
    <rPh sb="7" eb="8">
      <t>ダイ</t>
    </rPh>
    <rPh sb="9" eb="10">
      <t>カイ</t>
    </rPh>
    <rPh sb="10" eb="13">
      <t>サギョウハン</t>
    </rPh>
    <rPh sb="15" eb="17">
      <t>ハイシ</t>
    </rPh>
    <rPh sb="19" eb="21">
      <t>イリョウ</t>
    </rPh>
    <rPh sb="21" eb="23">
      <t>キカン</t>
    </rPh>
    <rPh sb="24" eb="26">
      <t>トウロク</t>
    </rPh>
    <rPh sb="28" eb="30">
      <t>ジョウホウ</t>
    </rPh>
    <rPh sb="31" eb="33">
      <t>チョウキ</t>
    </rPh>
    <rPh sb="33" eb="35">
      <t>ホゾン</t>
    </rPh>
    <rPh sb="39" eb="41">
      <t>フヨ</t>
    </rPh>
    <rPh sb="46" eb="48">
      <t>バアイ</t>
    </rPh>
    <rPh sb="49" eb="51">
      <t>ハイシ</t>
    </rPh>
    <rPh sb="53" eb="57">
      <t>イリョウキカン</t>
    </rPh>
    <rPh sb="59" eb="61">
      <t>トウロク</t>
    </rPh>
    <rPh sb="67" eb="68">
      <t>ワ</t>
    </rPh>
    <rPh sb="70" eb="72">
      <t>ジョウタイ</t>
    </rPh>
    <rPh sb="73" eb="75">
      <t>ホゾン</t>
    </rPh>
    <rPh sb="77" eb="79">
      <t>ホウシン</t>
    </rPh>
    <rPh sb="90" eb="94">
      <t>サンシャテイレイ</t>
    </rPh>
    <phoneticPr fontId="2"/>
  </si>
  <si>
    <t xml:space="preserve">■要求事項２
機能：オンライン資格確認システムのデータ管理機能
内容：オンライン資格確認の医療機関等マスタで廃止年月日がついた医療機関が過去に登録した医療情報については、廃止年月日以降に長期保存フラグを無効化する（廃止済み医療機関が登録した臨床情報はその後５年間ですべて消えるようにする）
※本処理を実施後、医療機関が誤って廃止の申請を行っていた等で、当該医療機関が医療機関等マスタ上、廃止年月日ありから廃止年月日なしに訂正された場合は、一度行った本処理をロールバックする。
■備考
技術作業班にてどのような改修方針にするか検討予定のため、要求事項はあくまで現状の想定案。
</t>
    <phoneticPr fontId="2"/>
  </si>
  <si>
    <t>■要求事項２
機能：オンライン資格確認システムのデータ管理機能
内容：オンライン資格確認の医療機関等マスタで廃止年月日がついた医療機関が過去に登録した医療情報については、廃止年月日以降に長期保存フラグを無効化する（廃止済み医療機関が登録した臨床情報はその後５年間ですべて消えるようにする）
※本処理を実施後、医療機関が誤って廃止の申請を行っていた等で、当該医療機関が医療機関等マスタ上、廃止年月日ありから廃止年月日なしに訂正された場合は、一度行った本処理をロールバックする。
■備考
技術作業班にてどのような改修方針にするか検討予定のため、要求事項はあくまで現状の想定案。</t>
  </si>
  <si>
    <t>096</t>
  </si>
  <si>
    <t>096_01</t>
  </si>
  <si>
    <t>受診券番号の保険者番号とPatient.identifierが合致するかのアドオンチェック追加</t>
    <rPh sb="31" eb="33">
      <t>ガッチ</t>
    </rPh>
    <rPh sb="45" eb="47">
      <t>ツイカ</t>
    </rPh>
    <phoneticPr fontId="3"/>
  </si>
  <si>
    <t>受診券番号の保険者番号とPatient.identifierが合致するかのアドオンチェック追加する</t>
    <rPh sb="31" eb="33">
      <t>ガッチ</t>
    </rPh>
    <rPh sb="45" eb="47">
      <t>ツイカ</t>
    </rPh>
    <phoneticPr fontId="3"/>
  </si>
  <si>
    <t>■起票背景
保険者番号は、３文書６情報全てにおいて、Patient.identifier要素に必須で記述される仕様となっている。
一方、健診文書については上記とは別に、受診券の保険者番号をJP_CoverageService_eCheckupGeneralから参照されるJP_OrganizationInsurer_eCheckupGeneral.Identifier要素にも任意で記述できるようになっている。
■目的
健診文書に複数個所記述された保険者番号がすべて一致するかどうかを確認できるようにする。</t>
  </si>
  <si>
    <t>受診者個人の識別子に使われる保険者番号と、受診券番号に記載の保険者番号の相互チェックを行っていない場合に誤って異なる番号が記述されると発生しうる、システム処理上の不整合を防ぐ</t>
    <rPh sb="49" eb="51">
      <t>バアイ</t>
    </rPh>
    <rPh sb="67" eb="69">
      <t>ハッセイ</t>
    </rPh>
    <rPh sb="85" eb="86">
      <t>フセ</t>
    </rPh>
    <phoneticPr fontId="2"/>
  </si>
  <si>
    <t>健診情報の登録</t>
    <rPh sb="0" eb="2">
      <t>ケンシン</t>
    </rPh>
    <rPh sb="2" eb="4">
      <t>ジョウホウ</t>
    </rPh>
    <rPh sb="5" eb="7">
      <t>トウロク</t>
    </rPh>
    <phoneticPr fontId="2"/>
  </si>
  <si>
    <t>■要求事項
・機能：アドオンチェック機能
・内容：OrganizationInsurerのIdentifierの記録がある場合は、Patientの保険者番号と比較する。合致しなければErrorとする。
■備考
CDA変換時に、どこのの記述箇所から、XMLファイルの保険者番号にマッピングするかは要確認。
(OrganizationInsurerのIdentifierが任意項目のため。)</t>
  </si>
  <si>
    <t>受診者個人の識別子に使われる保険者番号と、受診券番号に記載の保険者番号の相互チェックを行っていないため、誤って異なる番号が記述されると、システム処理上の不整合が起こる可能性がある。</t>
  </si>
  <si>
    <t>OrganizationInsurerのIdentifierの記録がある場合は、Patientの保険者番号と比較する。合致しなければErrorとする。
■備考
CDA変換時に、どこのの記述箇所から、XMLファイルの保険者番号にマッピングするかは要確認。
(OrganizationInsurerのIdentifierが任意項目のため。)"</t>
  </si>
  <si>
    <t>2025/8/25※ステークホルダーステータス更新</t>
    <phoneticPr fontId="2"/>
  </si>
  <si>
    <t>097</t>
  </si>
  <si>
    <t>097_01</t>
  </si>
  <si>
    <t>臨床情報(感染症・検査)</t>
    <rPh sb="0" eb="2">
      <t>リンショウ</t>
    </rPh>
    <rPh sb="2" eb="4">
      <t>ジョウホウ</t>
    </rPh>
    <phoneticPr fontId="2"/>
  </si>
  <si>
    <t>検査情報のstatusが「registered(結果未着)」の場合にデータ出力しない制御</t>
    <rPh sb="0" eb="2">
      <t>ケンサ</t>
    </rPh>
    <rPh sb="2" eb="4">
      <t>ジョウホウ</t>
    </rPh>
    <rPh sb="31" eb="33">
      <t>バアイ</t>
    </rPh>
    <rPh sb="37" eb="39">
      <t>シュツリョク</t>
    </rPh>
    <rPh sb="42" eb="44">
      <t>セイギョ</t>
    </rPh>
    <phoneticPr fontId="3"/>
  </si>
  <si>
    <t>検査情報のstatusが「registered(結果未着)」の場合にデータ出力しない制御を追加する</t>
    <phoneticPr fontId="2"/>
  </si>
  <si>
    <t>■起票背景
・検査情報については、ステータスが「preliminary(暫定結果報告)」のみ「中間」として出力されると技術解説書に示しているが、「registered(結果未着)」のステータスであっても「中間」として出力される仕様となっている。
■目的
臨床情報一覧には、閲覧者にとって意味を成す、必要な情報だけが表示できるようにする。</t>
    <phoneticPr fontId="2"/>
  </si>
  <si>
    <t>帳票の視認性を向上させる</t>
    <rPh sb="7" eb="9">
      <t>コウジョウ</t>
    </rPh>
    <phoneticPr fontId="2"/>
  </si>
  <si>
    <t>モデルベンダ：確認済</t>
    <rPh sb="7" eb="9">
      <t>カクニン</t>
    </rPh>
    <rPh sb="9" eb="10">
      <t>スミ</t>
    </rPh>
    <phoneticPr fontId="2"/>
  </si>
  <si>
    <t>■要求事項
機能：臨床情報一覧出力機能
内容：臨床情報閲覧機能(XML・PDF帳票・マイナポータル)で、検査のObservationのstatusがresisterdの場合、検査項目単位で情報出力を行わないように制御する。
■備考
ワーニングは不要。</t>
    <phoneticPr fontId="2"/>
  </si>
  <si>
    <t>「結果未着」ステータスの結果を表示することに臨床的な意義もなく、逆に帳票の視認性を下げる可能性がある。</t>
    <phoneticPr fontId="2"/>
  </si>
  <si>
    <t>臨床情報閲覧機能(XML・PDF帳票・マイナポータル)で、検査のObservationのstatusがresisterdの場合、検査項目単位で情報出力を行わないように制御する。
■備考
ワーニングは不要。</t>
    <phoneticPr fontId="2"/>
  </si>
  <si>
    <t>098</t>
    <phoneticPr fontId="2"/>
  </si>
  <si>
    <t>098_01</t>
  </si>
  <si>
    <t>臨床情報(感染症・検査)</t>
    <phoneticPr fontId="2"/>
  </si>
  <si>
    <t>検査項目のFHIR識別文字列の修正</t>
    <rPh sb="0" eb="2">
      <t>ケンサ</t>
    </rPh>
    <rPh sb="2" eb="4">
      <t>コウモク</t>
    </rPh>
    <phoneticPr fontId="2"/>
  </si>
  <si>
    <t>プロファイル更新</t>
  </si>
  <si>
    <t>一部の検査項目のFHIR識別文字列を追加、修正する</t>
    <phoneticPr fontId="2"/>
  </si>
  <si>
    <t>■起票背景
現行、臨床情報一覧の検査項目名として、FHIR項目名称を使用している。また、FHIR項目名称に１対１で、FHIR識別文字列(FHIR記述上のCode値に対応するDisplay値)を規定している。
このうち、既に設定していた「HIV-1+2抗体・p24抗原」については、この表記だと、結果が抗体検査を指すのか抗原検査を指すのかを識別できないのではないかという意見を大江先生から受領。また、HCVについても試薬が「エクルーシス試薬　HCV　DUO」について同様の課題がある旨を確認。
さらに、梅毒STS（希釈倍率）に関する項目が現行、FHIR記述仕様で規定されていない漏れも確認。
■目的
検査項目名称について、閲覧者側が誤解しない表記に修正する。</t>
    <phoneticPr fontId="2"/>
  </si>
  <si>
    <t>大江先生：済
JLACセンター：済</t>
    <rPh sb="0" eb="4">
      <t>オオエセンセイ</t>
    </rPh>
    <rPh sb="5" eb="6">
      <t>ズミ</t>
    </rPh>
    <rPh sb="16" eb="17">
      <t>ズミ</t>
    </rPh>
    <phoneticPr fontId="2"/>
  </si>
  <si>
    <t>■要求事項１
・機能：プロファイル取り込み
・内容：本修正内容を取り込んだFHIR記述仕様(IG)をシステムに取り込む。
■備考
主な修正内容は以下の通り。
・HIV-1+2抗体・p24抗原
・HCV抗体・抗原同時測定
・梅毒STS（希釈倍率）</t>
    <phoneticPr fontId="2"/>
  </si>
  <si>
    <t>抗体・抗原同時測定の検査項目について、何の検査結果を示しているかを、閲覧者側(医療者・本人)で識別できない。
梅毒STS（希釈倍率）の登録ができない。</t>
    <phoneticPr fontId="2"/>
  </si>
  <si>
    <t>プロファイル取り込み</t>
    <rPh sb="6" eb="7">
      <t>ト</t>
    </rPh>
    <rPh sb="8" eb="9">
      <t>コ</t>
    </rPh>
    <phoneticPr fontId="2"/>
  </si>
  <si>
    <t>プロファイル取り込み
・内容：本修正内容を取り込んだFHIR記述仕様(IG)をシステムに取り込む。
■備考
主な修正内容は以下の通り。
・HIV-1+2抗体・p24抗原
・HCV抗体・抗原同時測定
・梅毒STS（希釈倍率）</t>
    <phoneticPr fontId="2"/>
  </si>
  <si>
    <t>098_02</t>
  </si>
  <si>
    <t>一部の検査項目のFHIR識別文字列を追加、修正する</t>
  </si>
  <si>
    <t>■要求事項２
・機能：標準マスタ管理・提供機能
・内容：電子カルテ情報共有サービス対応JLACコード表に、修正したFHIR項目名称/FHIR識別文字列をは反映させる。(カラムの修正はなし)
■備考
主な修正内容は以下の通り。
・HIV-1+2抗体・p24抗原
・HCV抗体・抗原同時測定
・梅毒STS（希釈倍率）</t>
  </si>
  <si>
    <t>抗体・抗原同時測定の検査項目について、何の検査結果を示しているかを、閲覧者側(医療者・本人)で識別できない。
梅毒STS（希釈倍率）の登録ができない。</t>
  </si>
  <si>
    <t>電子カルテ情報共有サービス対応JLACコード表に、修正したFHIR項目名称/FHIR識別文字列をは反映させる。(カラムの修正はなし)
■備考
主な修正内容は以下の通り。
・HIV-1+2抗体・p24抗原
・HCV抗体・抗原同時測定
・梅毒STS（希釈倍率）</t>
    <phoneticPr fontId="2"/>
  </si>
  <si>
    <t>099</t>
    <phoneticPr fontId="2"/>
  </si>
  <si>
    <t>099_01</t>
    <phoneticPr fontId="2"/>
  </si>
  <si>
    <t>処方情報の抽出機能の蓋締め</t>
  </si>
  <si>
    <t>処方情報の抽出機能の蓋締めをする</t>
    <rPh sb="7" eb="9">
      <t>キノウ</t>
    </rPh>
    <rPh sb="10" eb="12">
      <t>フタジ</t>
    </rPh>
    <phoneticPr fontId="3"/>
  </si>
  <si>
    <t>■起票背景
現行、臨床情報における処方情報は「診療情報提供書」・「退院時サマリ」に記録された処方情報(MedicationRequestで記述されたもの)を対象に抽出・表示している。
これにより、紹介元医療機関が他医療機関に情報共有すべきと判断した要点の把握に役立てることを目的としている。
■目的
診療情報提供書・退院時サマリから処方情報の抽出は、医療者における混乱が発生しないように一時的に蓋締めし、診療情報提供書、退院時サマリに記述される処方情報のすべてをコードで記述・抽出可能となるような整理がつき次第再度提供することとする。</t>
    <phoneticPr fontId="2"/>
  </si>
  <si>
    <t>作業班：済
WG:9月に提示予定</t>
    <rPh sb="0" eb="3">
      <t>サギョウハン</t>
    </rPh>
    <rPh sb="4" eb="5">
      <t>ズミ</t>
    </rPh>
    <rPh sb="10" eb="11">
      <t>ガツ</t>
    </rPh>
    <rPh sb="12" eb="14">
      <t>テイジ</t>
    </rPh>
    <rPh sb="14" eb="16">
      <t>ヨテイ</t>
    </rPh>
    <phoneticPr fontId="2"/>
  </si>
  <si>
    <t>■要求事項１
・機能：処方情報抽出機能
・内容：診療情報提供書・退院時サマリから処方情報を抽出する機能の蓋締めを行う。
■要求事項２
・機能：臨床情報出力機能
・内容：診療情報提供書・退院時サマリから抽出した処方情報の出力は行わないように蓋締めする。
■要求事項３
・機能：臨床情報一覧出力機能
・内容：臨床情報のPDFに処方情報が表示されない旨を追記する。
■備考
関連課題ID21と同様に、作業班第１回（６月１～２週実施予定）で付議予定のため、作業班での検討結果によっては案件として落ちる可能性がある。</t>
    <phoneticPr fontId="2"/>
  </si>
  <si>
    <t>診療情報提供書、退院時サマリに記述される処方情報は、YJコードで記述された場合にのみ抽出が可能な仕様となっている。YJコードが特定できない処方情報はテキストで診療情報提供書、退院時サマリに記述されるため、診療情報提供書、退院時サマリに記述される処方情報が全て抽出できない。</t>
    <phoneticPr fontId="2"/>
  </si>
  <si>
    <t>処方情報抽出機能</t>
    <phoneticPr fontId="2"/>
  </si>
  <si>
    <t xml:space="preserve">診療情報提供書・退院時サマリから処方情報を抽出する機能の蓋締めを行う。
■備考
関連課題ID21と同様に、作業班第１回（６月１～２週実施予定）で付議予定のため、作業班での検討結果によっては案件として落ちる可能性がある。
</t>
    <phoneticPr fontId="2"/>
  </si>
  <si>
    <t>099_02</t>
    <phoneticPr fontId="2"/>
  </si>
  <si>
    <t>処方情報の抽出機能の蓋締め</t>
    <rPh sb="7" eb="9">
      <t>キノウ</t>
    </rPh>
    <rPh sb="10" eb="12">
      <t>フタジ</t>
    </rPh>
    <phoneticPr fontId="3"/>
  </si>
  <si>
    <t>臨床情報出力機能</t>
    <phoneticPr fontId="2"/>
  </si>
  <si>
    <r>
      <t xml:space="preserve">診療情報提供書・退院時サマリから抽出した処方情報の出力は行わないように蓋締めする。
</t>
    </r>
    <r>
      <rPr>
        <sz val="11"/>
        <color rgb="FF00B0F0"/>
        <rFont val="Meiryo UI"/>
        <family val="3"/>
        <charset val="128"/>
      </rPr>
      <t>※リリースまでにオン資DBへ蓄積した処方情報は削除。</t>
    </r>
    <r>
      <rPr>
        <sz val="11"/>
        <color rgb="FFFF0000"/>
        <rFont val="Meiryo UI"/>
        <family val="3"/>
        <charset val="128"/>
      </rPr>
      <t xml:space="preserve">
■備考
関連課題ID21と同様に、作業班第１回（６月１～２週実施予定）で付議予定のため、作業班での検討結果によっては案件として落ちる可能性がある。</t>
    </r>
    <rPh sb="52" eb="53">
      <t>シ</t>
    </rPh>
    <rPh sb="56" eb="58">
      <t>チクセキ</t>
    </rPh>
    <rPh sb="60" eb="62">
      <t>ショホウ</t>
    </rPh>
    <rPh sb="62" eb="64">
      <t>ジョウホウ</t>
    </rPh>
    <rPh sb="65" eb="67">
      <t>サクジョ</t>
    </rPh>
    <phoneticPr fontId="2"/>
  </si>
  <si>
    <t>099_03</t>
  </si>
  <si>
    <t>臨床情報のPDFに処方情報が表示されない旨を追記する。
■備考
関連課題ID21と同様に、作業班第１回（６月１～２週実施予定）で付議予定のため、作業班での検討結果によっては案件として落ちる可能性がある。</t>
    <phoneticPr fontId="2"/>
  </si>
  <si>
    <t>100</t>
    <phoneticPr fontId="2"/>
  </si>
  <si>
    <t>100_01</t>
    <phoneticPr fontId="2"/>
  </si>
  <si>
    <t>健診マスタ1.3版の動作検証</t>
    <rPh sb="0" eb="2">
      <t>ケンシン</t>
    </rPh>
    <rPh sb="8" eb="9">
      <t>バン</t>
    </rPh>
    <rPh sb="10" eb="12">
      <t>ドウサ</t>
    </rPh>
    <phoneticPr fontId="2"/>
  </si>
  <si>
    <t>健診マスタ1.3版を電子カルテ情報共有サービス基盤に取り込む</t>
    <rPh sb="0" eb="2">
      <t>ケンシン</t>
    </rPh>
    <rPh sb="8" eb="9">
      <t>バン</t>
    </rPh>
    <rPh sb="10" eb="12">
      <t>デンシ</t>
    </rPh>
    <rPh sb="15" eb="19">
      <t>ジョウホウキョウユウ</t>
    </rPh>
    <rPh sb="23" eb="25">
      <t>キバン</t>
    </rPh>
    <rPh sb="26" eb="27">
      <t>ト</t>
    </rPh>
    <rPh sb="28" eb="29">
      <t>コ</t>
    </rPh>
    <phoneticPr fontId="2"/>
  </si>
  <si>
    <t>■起票背景
厚労省にて健診マスタ1.3版へ版上げすることが予定されている。
■目的
健診マスタ1.3版が電子カルテ情報共有サービス基盤で問題なく動作することを検証すること。</t>
    <rPh sb="1" eb="5">
      <t>キヒョウハイケイ</t>
    </rPh>
    <rPh sb="6" eb="9">
      <t>コウロウショウ</t>
    </rPh>
    <rPh sb="11" eb="13">
      <t>ケンシン</t>
    </rPh>
    <rPh sb="19" eb="20">
      <t>ハン</t>
    </rPh>
    <rPh sb="21" eb="22">
      <t>ハン</t>
    </rPh>
    <rPh sb="22" eb="23">
      <t>ア</t>
    </rPh>
    <rPh sb="29" eb="31">
      <t>ヨテイ</t>
    </rPh>
    <rPh sb="40" eb="42">
      <t>モクテキ</t>
    </rPh>
    <rPh sb="43" eb="45">
      <t>ケンシン</t>
    </rPh>
    <rPh sb="51" eb="52">
      <t>ハン</t>
    </rPh>
    <rPh sb="53" eb="55">
      <t>デンシ</t>
    </rPh>
    <rPh sb="58" eb="62">
      <t>ジョウホウキョウユウ</t>
    </rPh>
    <rPh sb="66" eb="68">
      <t>キバン</t>
    </rPh>
    <rPh sb="69" eb="71">
      <t>モンダイ</t>
    </rPh>
    <rPh sb="73" eb="75">
      <t>ドウサ</t>
    </rPh>
    <rPh sb="80" eb="82">
      <t>ケンショウ</t>
    </rPh>
    <phoneticPr fontId="2"/>
  </si>
  <si>
    <t>保険者へ連係される健診項目が増える。</t>
    <rPh sb="0" eb="3">
      <t>ホケンシャ</t>
    </rPh>
    <rPh sb="4" eb="6">
      <t>レンケイ</t>
    </rPh>
    <rPh sb="9" eb="11">
      <t>ケンシン</t>
    </rPh>
    <rPh sb="11" eb="13">
      <t>コウモク</t>
    </rPh>
    <rPh sb="14" eb="15">
      <t>フ</t>
    </rPh>
    <phoneticPr fontId="2"/>
  </si>
  <si>
    <t xml:space="preserve">取り下げ理由：
健診マスタ1.3版の動作検証は実施済みのため、取り下げとなった。
（7/23開発課題検討会）
</t>
    <rPh sb="0" eb="1">
      <t>ト</t>
    </rPh>
    <rPh sb="2" eb="3">
      <t>サ</t>
    </rPh>
    <rPh sb="4" eb="6">
      <t>リユウ</t>
    </rPh>
    <rPh sb="8" eb="10">
      <t>ケンシン</t>
    </rPh>
    <rPh sb="16" eb="17">
      <t>ハン</t>
    </rPh>
    <rPh sb="18" eb="20">
      <t>ドウサ</t>
    </rPh>
    <rPh sb="20" eb="22">
      <t>ケンショウ</t>
    </rPh>
    <rPh sb="23" eb="25">
      <t>ジッシ</t>
    </rPh>
    <rPh sb="25" eb="26">
      <t>ズ</t>
    </rPh>
    <rPh sb="31" eb="32">
      <t>ト</t>
    </rPh>
    <rPh sb="33" eb="34">
      <t>サ</t>
    </rPh>
    <rPh sb="46" eb="48">
      <t>カイハツ</t>
    </rPh>
    <rPh sb="48" eb="50">
      <t>カダイ</t>
    </rPh>
    <rPh sb="50" eb="52">
      <t>ケントウ</t>
    </rPh>
    <rPh sb="52" eb="53">
      <t>カイ</t>
    </rPh>
    <phoneticPr fontId="2"/>
  </si>
  <si>
    <t>健診マスタ1.3版の検証</t>
    <rPh sb="0" eb="2">
      <t>ケンシン</t>
    </rPh>
    <rPh sb="8" eb="9">
      <t>ハン</t>
    </rPh>
    <rPh sb="10" eb="12">
      <t>ケンショウ</t>
    </rPh>
    <phoneticPr fontId="2"/>
  </si>
  <si>
    <t>医療機関等、保険者、マイナポータルの健診文書の登録/閲覧等が正常に行える。</t>
    <phoneticPr fontId="2"/>
  </si>
  <si>
    <t>健診マスタ1.3版の検証は未実施である。</t>
    <rPh sb="0" eb="2">
      <t>ケンシン</t>
    </rPh>
    <rPh sb="8" eb="9">
      <t>バン</t>
    </rPh>
    <rPh sb="10" eb="12">
      <t>ケンショウ</t>
    </rPh>
    <rPh sb="13" eb="16">
      <t>ミジッシ</t>
    </rPh>
    <phoneticPr fontId="2"/>
  </si>
  <si>
    <t>健診マスタ1.3版の動作検証</t>
    <rPh sb="0" eb="2">
      <t>ケンシン</t>
    </rPh>
    <rPh sb="8" eb="9">
      <t>バン</t>
    </rPh>
    <rPh sb="10" eb="12">
      <t>ドウサ</t>
    </rPh>
    <rPh sb="12" eb="14">
      <t>ケンショウ</t>
    </rPh>
    <phoneticPr fontId="2"/>
  </si>
  <si>
    <t>健診マスタ</t>
    <rPh sb="0" eb="2">
      <t>ケンシン</t>
    </rPh>
    <phoneticPr fontId="2"/>
  </si>
  <si>
    <t>101</t>
    <phoneticPr fontId="2"/>
  </si>
  <si>
    <t>101_01</t>
    <phoneticPr fontId="2"/>
  </si>
  <si>
    <t>廃止済み傷病コードのバリデーションエラーの修正</t>
    <phoneticPr fontId="2"/>
  </si>
  <si>
    <t>MEDISの標準病名履歴マスタに存在する傷病名すべてがレセ電傷病名マスタに存在しアドオンチェックを行えるようにする</t>
    <rPh sb="37" eb="39">
      <t>ソンザイ</t>
    </rPh>
    <rPh sb="49" eb="50">
      <t>オコナ</t>
    </rPh>
    <phoneticPr fontId="2"/>
  </si>
  <si>
    <r>
      <t>■起票背景
技術解説書にて、「標準マスタのコードに関しては、最新時点のマスタでバリデーションチェックを行うため、その時点で廃番されている場合はWarningとして表示する」と記述されているが、ONS問合せより、廃番の傷病名を用いて登録を行った際、WarningではなくError</t>
    </r>
    <r>
      <rPr>
        <vertAlign val="superscript"/>
        <sz val="11"/>
        <rFont val="Meiryo UI"/>
        <family val="3"/>
        <charset val="128"/>
      </rPr>
      <t>※</t>
    </r>
    <r>
      <rPr>
        <sz val="11"/>
        <rFont val="Meiryo UI"/>
        <family val="3"/>
        <charset val="128"/>
      </rPr>
      <t xml:space="preserve">となった旨の連絡を受けで確認を行った。
</t>
    </r>
    <r>
      <rPr>
        <vertAlign val="superscript"/>
        <sz val="11"/>
        <rFont val="Meiryo UI"/>
        <family val="3"/>
        <charset val="128"/>
      </rPr>
      <t>※</t>
    </r>
    <r>
      <rPr>
        <sz val="11"/>
        <rFont val="Meiryo UI"/>
        <family val="3"/>
        <charset val="128"/>
      </rPr>
      <t>具体的なエラーメッセージは「傷病名について、標準マスタに存在しないコードが設定されています」。
外部向け（技術解説書）にはMEDISの標準病名履歴マスタを使用すると明記されており、医療機関はこの傷病名を用いて登録する。一方、診療情報提供書などの登録時のアドオンチェック処理では、レセプト電算処理用傷病名コード、病名交換用コード、ICD-10のコードチェックを行う必要があり、標準病名履歴マスタにはそれらの情報を保有していないため、診療報酬情報提供サービスのレセ電傷病名マスタを使用している。
ONS問合せを受けて確認したところ、標準病名履歴マスタに存在して、レセ電病名マスタに存在しない病名管理番号が720件あり（基金にて対象は抽出済）、その病名管理番号を用いて登録を行った場合、アドオンチェックでエラーとなり登録できないことが判明した。
■目的
MEDISの標準病名履歴マスタに存在する病名管理番号で登録を行った際にエラーとならないようにする。</t>
    </r>
    <rPh sb="1" eb="3">
      <t>キヒョウ</t>
    </rPh>
    <rPh sb="3" eb="5">
      <t>ハイケイ</t>
    </rPh>
    <rPh sb="62" eb="63">
      <t>バン</t>
    </rPh>
    <rPh sb="161" eb="164">
      <t>グタイテキ</t>
    </rPh>
    <rPh sb="468" eb="470">
      <t>キキン</t>
    </rPh>
    <rPh sb="472" eb="474">
      <t>タイショウ</t>
    </rPh>
    <rPh sb="475" eb="477">
      <t>チュウシュツ</t>
    </rPh>
    <rPh sb="477" eb="478">
      <t>スミ</t>
    </rPh>
    <rPh sb="532" eb="534">
      <t>モクテキ</t>
    </rPh>
    <rPh sb="551" eb="553">
      <t>ソンザイ</t>
    </rPh>
    <rPh sb="555" eb="561">
      <t>ビョウメイカンリバンゴウ</t>
    </rPh>
    <rPh sb="562" eb="564">
      <t>トウロク</t>
    </rPh>
    <rPh sb="565" eb="566">
      <t>オコナ</t>
    </rPh>
    <rPh sb="568" eb="569">
      <t>サイ</t>
    </rPh>
    <phoneticPr fontId="2"/>
  </si>
  <si>
    <t>標準マスタ（傷病名）の登録</t>
    <rPh sb="0" eb="2">
      <t>ヒョウジュン</t>
    </rPh>
    <rPh sb="11" eb="13">
      <t>トウロク</t>
    </rPh>
    <phoneticPr fontId="2"/>
  </si>
  <si>
    <t>■要求事項
診療報酬情報提供サービスから提供されているレセ電傷病名マスタは廃番となった病名管理番号（一部）の情報が欠けている。
・廃止傷病名に対応する新規傷病名がある場合、MEDISは移行元を廃止とした上で移行先を新設しているが、レセ電傷病名は上書き更新しているため、移行元が物理的に失われる
・廃止となった傷病名の病名管理番号、病名交換用コード、ICD-10が欠けている
そのため、傷病名マスタ登録機能を新規開発し、定期更新(年2回程度)では傷病名マスタ登録機能を用いてマスタ登録を行い、診療報酬情報提供サービスから提供されているレセ電傷病名マスタの不足情報（上記）を補完し、標準病名履歴マスタに存在するすべての病名管理番号が問題なくアドオンチェックが行えるように傷病名マスタを構築できるようにする。
＜前提＞
・レセ電傷病マスタの不足部分を補った状態とする。
※支払基金にて過去の傷病名マスタ情報は保持しているためデータ提供予定で、不足分の720件はそこから補う。
&lt;傷病名マスタ登録機能（年2回程度の定期更新）の実装内容&gt;
①次版のレセ電傷病名マスタをベースとし、現行レセ電傷病マスタと突合し不足分を確認し、不足情報を補う
②標準病名履歴マスタに存在する病名管理番号がレセ電傷病マスタに存在することを確認する</t>
    <rPh sb="1" eb="5">
      <t>ヨウキュウジコウ</t>
    </rPh>
    <rPh sb="6" eb="8">
      <t>シンリョウ</t>
    </rPh>
    <rPh sb="8" eb="10">
      <t>ホウシュウ</t>
    </rPh>
    <rPh sb="10" eb="12">
      <t>ジョウホウ</t>
    </rPh>
    <rPh sb="12" eb="14">
      <t>テイキョウ</t>
    </rPh>
    <rPh sb="20" eb="22">
      <t>テイキョウ</t>
    </rPh>
    <rPh sb="29" eb="30">
      <t>デン</t>
    </rPh>
    <rPh sb="30" eb="33">
      <t>ショウビョウメイ</t>
    </rPh>
    <rPh sb="37" eb="39">
      <t>ハイバン</t>
    </rPh>
    <rPh sb="43" eb="49">
      <t>ビョウメイカンリバンゴウ</t>
    </rPh>
    <rPh sb="50" eb="52">
      <t>イチブ</t>
    </rPh>
    <rPh sb="54" eb="56">
      <t>ジョウホウ</t>
    </rPh>
    <rPh sb="57" eb="58">
      <t>カ</t>
    </rPh>
    <rPh sb="65" eb="70">
      <t>ハイシショウビョウメイ</t>
    </rPh>
    <rPh sb="71" eb="73">
      <t>タイオウ</t>
    </rPh>
    <rPh sb="75" eb="80">
      <t>シンキショウビョウメイ</t>
    </rPh>
    <rPh sb="83" eb="85">
      <t>バアイ</t>
    </rPh>
    <rPh sb="92" eb="95">
      <t>イコウモト</t>
    </rPh>
    <rPh sb="96" eb="98">
      <t>ハイシ</t>
    </rPh>
    <rPh sb="101" eb="102">
      <t>ウエ</t>
    </rPh>
    <rPh sb="103" eb="106">
      <t>イコウサキ</t>
    </rPh>
    <rPh sb="107" eb="109">
      <t>シンセツ</t>
    </rPh>
    <rPh sb="117" eb="118">
      <t>デン</t>
    </rPh>
    <rPh sb="118" eb="121">
      <t>ショウビョウメイ</t>
    </rPh>
    <rPh sb="122" eb="124">
      <t>ウワガ</t>
    </rPh>
    <rPh sb="125" eb="127">
      <t>コウシン</t>
    </rPh>
    <rPh sb="134" eb="137">
      <t>イコウモト</t>
    </rPh>
    <rPh sb="138" eb="141">
      <t>ブツリテキ</t>
    </rPh>
    <rPh sb="142" eb="143">
      <t>ウシナ</t>
    </rPh>
    <rPh sb="148" eb="150">
      <t>ハイシ</t>
    </rPh>
    <rPh sb="154" eb="156">
      <t>ショウビョウ</t>
    </rPh>
    <rPh sb="156" eb="157">
      <t>メイ</t>
    </rPh>
    <rPh sb="158" eb="160">
      <t>ビョウメイ</t>
    </rPh>
    <rPh sb="160" eb="162">
      <t>カンリ</t>
    </rPh>
    <rPh sb="162" eb="164">
      <t>バンゴウ</t>
    </rPh>
    <rPh sb="165" eb="167">
      <t>ビョウメイ</t>
    </rPh>
    <rPh sb="167" eb="169">
      <t>コウカン</t>
    </rPh>
    <rPh sb="169" eb="170">
      <t>ヨウ</t>
    </rPh>
    <rPh sb="181" eb="182">
      <t>カ</t>
    </rPh>
    <rPh sb="204" eb="206">
      <t>シンキ</t>
    </rPh>
    <rPh sb="210" eb="212">
      <t>テイキ</t>
    </rPh>
    <rPh sb="212" eb="214">
      <t>コウシン</t>
    </rPh>
    <rPh sb="234" eb="235">
      <t>モチ</t>
    </rPh>
    <rPh sb="240" eb="242">
      <t>トウロク</t>
    </rPh>
    <rPh sb="243" eb="244">
      <t>オコナ</t>
    </rPh>
    <rPh sb="277" eb="281">
      <t>フソクジョウホウ</t>
    </rPh>
    <rPh sb="282" eb="284">
      <t>ジョウキ</t>
    </rPh>
    <rPh sb="286" eb="288">
      <t>ホカン</t>
    </rPh>
    <rPh sb="355" eb="357">
      <t>ゼンテイ</t>
    </rPh>
    <rPh sb="377" eb="379">
      <t>ジョウタイ</t>
    </rPh>
    <rPh sb="439" eb="442">
      <t>ショウビョウメイ</t>
    </rPh>
    <rPh sb="445" eb="447">
      <t>トウロク</t>
    </rPh>
    <rPh sb="447" eb="449">
      <t>キノウ</t>
    </rPh>
    <rPh sb="450" eb="451">
      <t>ネン</t>
    </rPh>
    <rPh sb="452" eb="453">
      <t>カイ</t>
    </rPh>
    <rPh sb="453" eb="455">
      <t>テイド</t>
    </rPh>
    <rPh sb="456" eb="458">
      <t>テイキ</t>
    </rPh>
    <rPh sb="458" eb="460">
      <t>コウシン</t>
    </rPh>
    <rPh sb="462" eb="464">
      <t>ジッソウ</t>
    </rPh>
    <rPh sb="464" eb="466">
      <t>ナイヨウ</t>
    </rPh>
    <rPh sb="469" eb="471">
      <t>ジハン</t>
    </rPh>
    <rPh sb="474" eb="478">
      <t>デンショウビョウメイ</t>
    </rPh>
    <rPh sb="488" eb="490">
      <t>ゲンコウ</t>
    </rPh>
    <rPh sb="492" eb="493">
      <t>デン</t>
    </rPh>
    <rPh sb="493" eb="495">
      <t>ショウビョウ</t>
    </rPh>
    <rPh sb="499" eb="501">
      <t>トツゴウ</t>
    </rPh>
    <rPh sb="502" eb="504">
      <t>フソク</t>
    </rPh>
    <rPh sb="504" eb="505">
      <t>ブン</t>
    </rPh>
    <rPh sb="506" eb="508">
      <t>カクニン</t>
    </rPh>
    <rPh sb="510" eb="514">
      <t>フソクジョウホウ</t>
    </rPh>
    <rPh sb="515" eb="516">
      <t>オギナ</t>
    </rPh>
    <phoneticPr fontId="2"/>
  </si>
  <si>
    <t>診療報酬情報提供サービスから提供されている傷病名マスタと旧傷病名管理ファイルをレセ電傷病名マスタに格納し、診療情報提供書などの登録時のアドオンチェックに使用している。
しかし、MEDISから提供されている標準病名履歴マスタに存在する病名管理番号の一部がレセ電傷病名マスタに存在し（2025/5時点720件）、これらの病名管理番号を用いて登録リクエストが行われた際、コードチェック（標準マスタにコードが存在しない）でエラーとなる。
■診療報酬情報提供サービスのダウンロードサイト
https://shinryohoshu.mhlw.go.jp/shinryohoshu/standardMenu/doStandardMasterBz;jsessionid=2888F47A6760BF185DDCE95D72B8F713
■MEDISのダウンロードサイト
https://www2.medis.or.jp/stdcd/byomei/download2019.html</t>
    <rPh sb="53" eb="55">
      <t>シンリョウ</t>
    </rPh>
    <rPh sb="55" eb="57">
      <t>ジョウホウ</t>
    </rPh>
    <rPh sb="57" eb="60">
      <t>テイキョウショ</t>
    </rPh>
    <rPh sb="63" eb="66">
      <t>トウロクトキ</t>
    </rPh>
    <rPh sb="76" eb="78">
      <t>シヨウ</t>
    </rPh>
    <rPh sb="95" eb="97">
      <t>テイキョウ</t>
    </rPh>
    <rPh sb="102" eb="104">
      <t>ヒョウジュン</t>
    </rPh>
    <rPh sb="104" eb="106">
      <t>ビョウメイ</t>
    </rPh>
    <rPh sb="106" eb="108">
      <t>リレキ</t>
    </rPh>
    <rPh sb="112" eb="114">
      <t>ソンザイ</t>
    </rPh>
    <rPh sb="116" eb="120">
      <t>ビョウメイカンリ</t>
    </rPh>
    <rPh sb="120" eb="122">
      <t>バンゴウ</t>
    </rPh>
    <rPh sb="123" eb="125">
      <t>イチブ</t>
    </rPh>
    <rPh sb="128" eb="129">
      <t>デン</t>
    </rPh>
    <rPh sb="136" eb="138">
      <t>ソンザイ</t>
    </rPh>
    <rPh sb="146" eb="148">
      <t>ジテン</t>
    </rPh>
    <rPh sb="151" eb="152">
      <t>ケン</t>
    </rPh>
    <rPh sb="158" eb="164">
      <t>ビョウメイカンリバンゴウ</t>
    </rPh>
    <rPh sb="165" eb="166">
      <t>モチ</t>
    </rPh>
    <rPh sb="168" eb="170">
      <t>トウロク</t>
    </rPh>
    <rPh sb="176" eb="177">
      <t>オコナ</t>
    </rPh>
    <rPh sb="180" eb="181">
      <t>サイ</t>
    </rPh>
    <rPh sb="190" eb="192">
      <t>ヒョウジュン</t>
    </rPh>
    <rPh sb="200" eb="202">
      <t>ソンザイ</t>
    </rPh>
    <rPh sb="217" eb="219">
      <t>シンリョウ</t>
    </rPh>
    <rPh sb="219" eb="221">
      <t>ホウシュウ</t>
    </rPh>
    <rPh sb="221" eb="223">
      <t>ジョウホウ</t>
    </rPh>
    <rPh sb="223" eb="225">
      <t>テイキョウ</t>
    </rPh>
    <phoneticPr fontId="2"/>
  </si>
  <si>
    <t>診療報酬情報提供サービスから提供されているレセ電傷病名マスタは廃番となった病名管理番号（一部）の情報が欠けている。
・廃止傷病名に対応する新規傷病名がある場合、MEDISは移行元を廃止とした上で移行先を新設しているが、レセ電傷病名は上書き更新しているため、移行元が物理的に失われる
・廃止となった傷病の病名管理番号、病名交換用コード、ICD-10が欠けている
そのため、傷病名マスタ登録機能を新規開発し、定期更新(年2回程度)では傷病名マスタ登録機能を用いてマスタ登録を行い、診療報酬情報提供サービスから提供されているレセ電傷病名マスタの不足情報（上記）を補完し、標準病名履歴マスタに存在するすべての病名管理番号が問題なくアドオンチェックが行えるように傷病名マスタを構築できるようにする。
＜前提＞
・レセ電傷病マスタの不足部分を補った状態とする。
※支払基金にて過去の傷病名マスタ情報は保持しているためデータ提供予定で、不足分の720件はそこから補う。
&lt;傷病名マスタ登録機能（年2回程度の定期更新）の実装内容&gt;
①次版のレセ電傷病名マスタをベースとし、現行レセ電傷病マスタと突合し不足分を確認し、不足情報を補う
②標準病名履歴マスタに存在する病名管理番号がレセ電傷病マスタに存在することを確認する</t>
    <rPh sb="0" eb="2">
      <t>シンリョウ</t>
    </rPh>
    <rPh sb="2" eb="4">
      <t>ホウシュウ</t>
    </rPh>
    <rPh sb="4" eb="6">
      <t>ジョウホウ</t>
    </rPh>
    <rPh sb="6" eb="8">
      <t>テイキョウ</t>
    </rPh>
    <rPh sb="14" eb="16">
      <t>テイキョウ</t>
    </rPh>
    <rPh sb="23" eb="24">
      <t>デン</t>
    </rPh>
    <rPh sb="24" eb="27">
      <t>ショウビョウメイ</t>
    </rPh>
    <rPh sb="31" eb="33">
      <t>ハイバン</t>
    </rPh>
    <rPh sb="37" eb="43">
      <t>ビョウメイカンリバンゴウ</t>
    </rPh>
    <rPh sb="44" eb="46">
      <t>イチブ</t>
    </rPh>
    <rPh sb="48" eb="50">
      <t>ジョウホウ</t>
    </rPh>
    <rPh sb="51" eb="52">
      <t>カ</t>
    </rPh>
    <rPh sb="59" eb="64">
      <t>ハイシショウビョウメイ</t>
    </rPh>
    <rPh sb="65" eb="67">
      <t>タイオウ</t>
    </rPh>
    <rPh sb="69" eb="74">
      <t>シンキショウビョウメイ</t>
    </rPh>
    <rPh sb="77" eb="79">
      <t>バアイ</t>
    </rPh>
    <rPh sb="86" eb="89">
      <t>イコウモト</t>
    </rPh>
    <rPh sb="90" eb="92">
      <t>ハイシ</t>
    </rPh>
    <rPh sb="95" eb="96">
      <t>ウエ</t>
    </rPh>
    <rPh sb="97" eb="100">
      <t>イコウサキ</t>
    </rPh>
    <rPh sb="101" eb="103">
      <t>シンセツ</t>
    </rPh>
    <rPh sb="111" eb="112">
      <t>デン</t>
    </rPh>
    <rPh sb="112" eb="115">
      <t>ショウビョウメイ</t>
    </rPh>
    <rPh sb="116" eb="118">
      <t>ウワガ</t>
    </rPh>
    <rPh sb="119" eb="121">
      <t>コウシン</t>
    </rPh>
    <rPh sb="128" eb="131">
      <t>イコウモト</t>
    </rPh>
    <rPh sb="132" eb="135">
      <t>ブツリテキ</t>
    </rPh>
    <rPh sb="136" eb="137">
      <t>ウシナ</t>
    </rPh>
    <rPh sb="142" eb="144">
      <t>ハイシ</t>
    </rPh>
    <rPh sb="148" eb="150">
      <t>ショウビョウ</t>
    </rPh>
    <rPh sb="151" eb="153">
      <t>ビョウメイ</t>
    </rPh>
    <rPh sb="153" eb="155">
      <t>カンリ</t>
    </rPh>
    <rPh sb="155" eb="157">
      <t>バンゴウ</t>
    </rPh>
    <rPh sb="158" eb="160">
      <t>ビョウメイ</t>
    </rPh>
    <rPh sb="160" eb="162">
      <t>コウカン</t>
    </rPh>
    <rPh sb="162" eb="163">
      <t>ヨウ</t>
    </rPh>
    <rPh sb="174" eb="175">
      <t>カ</t>
    </rPh>
    <rPh sb="197" eb="199">
      <t>シンキ</t>
    </rPh>
    <rPh sb="203" eb="205">
      <t>テイキ</t>
    </rPh>
    <rPh sb="205" eb="207">
      <t>コウシン</t>
    </rPh>
    <rPh sb="227" eb="228">
      <t>モチ</t>
    </rPh>
    <rPh sb="233" eb="235">
      <t>トウロク</t>
    </rPh>
    <rPh sb="236" eb="237">
      <t>オコナ</t>
    </rPh>
    <rPh sb="270" eb="274">
      <t>フソクジョウホウ</t>
    </rPh>
    <rPh sb="275" eb="277">
      <t>ジョウキ</t>
    </rPh>
    <rPh sb="279" eb="281">
      <t>ホカン</t>
    </rPh>
    <rPh sb="348" eb="350">
      <t>ゼンテイ</t>
    </rPh>
    <rPh sb="420" eb="421">
      <t>ケン</t>
    </rPh>
    <rPh sb="432" eb="435">
      <t>ショウビョウメイ</t>
    </rPh>
    <rPh sb="438" eb="440">
      <t>トウロク</t>
    </rPh>
    <rPh sb="440" eb="442">
      <t>キノウ</t>
    </rPh>
    <rPh sb="443" eb="444">
      <t>ネン</t>
    </rPh>
    <rPh sb="445" eb="446">
      <t>カイ</t>
    </rPh>
    <rPh sb="446" eb="448">
      <t>テイド</t>
    </rPh>
    <rPh sb="449" eb="451">
      <t>テイキ</t>
    </rPh>
    <rPh sb="451" eb="453">
      <t>コウシン</t>
    </rPh>
    <rPh sb="455" eb="457">
      <t>ジッソウ</t>
    </rPh>
    <rPh sb="457" eb="459">
      <t>ナイヨウ</t>
    </rPh>
    <rPh sb="462" eb="464">
      <t>ジハン</t>
    </rPh>
    <rPh sb="467" eb="471">
      <t>デンショウビョウメイ</t>
    </rPh>
    <rPh sb="481" eb="483">
      <t>ゲンコウ</t>
    </rPh>
    <rPh sb="485" eb="486">
      <t>デン</t>
    </rPh>
    <rPh sb="486" eb="488">
      <t>ショウビョウ</t>
    </rPh>
    <rPh sb="492" eb="494">
      <t>トツゴウ</t>
    </rPh>
    <rPh sb="495" eb="497">
      <t>フソク</t>
    </rPh>
    <rPh sb="497" eb="498">
      <t>ブン</t>
    </rPh>
    <rPh sb="499" eb="501">
      <t>カクニン</t>
    </rPh>
    <rPh sb="503" eb="507">
      <t>フソクジョウホウ</t>
    </rPh>
    <rPh sb="508" eb="509">
      <t>オギナ</t>
    </rPh>
    <phoneticPr fontId="2"/>
  </si>
  <si>
    <r>
      <t xml:space="preserve">要件について問題ないか確認したい。（正式見積もりを開始して良いか）
</t>
    </r>
    <r>
      <rPr>
        <sz val="11"/>
        <color rgb="FFFF0000"/>
        <rFont val="Meiryo UI"/>
        <family val="3"/>
        <charset val="128"/>
      </rPr>
      <t>→OK</t>
    </r>
    <rPh sb="0" eb="2">
      <t>ヨウケン</t>
    </rPh>
    <rPh sb="6" eb="8">
      <t>モンダイ</t>
    </rPh>
    <rPh sb="11" eb="13">
      <t>カクニン</t>
    </rPh>
    <rPh sb="18" eb="20">
      <t>セイシキ</t>
    </rPh>
    <rPh sb="20" eb="22">
      <t>ミツ</t>
    </rPh>
    <rPh sb="25" eb="27">
      <t>カイシ</t>
    </rPh>
    <rPh sb="29" eb="30">
      <t>ヨ</t>
    </rPh>
    <phoneticPr fontId="2"/>
  </si>
  <si>
    <t>102</t>
    <phoneticPr fontId="2"/>
  </si>
  <si>
    <t>102_1</t>
    <phoneticPr fontId="2"/>
  </si>
  <si>
    <t>アドオンチェックのバージョン管理</t>
    <rPh sb="14" eb="16">
      <t>カンリ</t>
    </rPh>
    <phoneticPr fontId="2"/>
  </si>
  <si>
    <t>過去数バージョンのアドオンチェックを公開し利用できるようにする</t>
    <rPh sb="0" eb="2">
      <t>カコ</t>
    </rPh>
    <rPh sb="2" eb="3">
      <t>スウ</t>
    </rPh>
    <rPh sb="18" eb="20">
      <t>コウカイ</t>
    </rPh>
    <rPh sb="21" eb="23">
      <t>リヨウ</t>
    </rPh>
    <phoneticPr fontId="2"/>
  </si>
  <si>
    <t>■起票背景
アドオンチェックでは現在、バージョン毎にチェックを実施しておらず、最新の実装ガイドに準拠したチェックを行っている。
一方、サービスとしては、過去バージョンの記述仕様(プロファイル)の利用を許容している。
その結果、上記の「プロファイルは過去バージョン利用可」「アドオンチェックは最新バージョンのみ利用可」という矛盾により、実装ガイドの変更（版上げ）時に、過去バージョンで記述したデータが、本来であればOKとなるべきなのにもかかわらずNG（エラー）となる状況。
■目的
アドオンチェックのバージョン管理を行い、プロファイルのバージョンに対応するアドオンチェックを行えるようにすることでプロファイルとのバージョン矛盾を回避する。</t>
    <phoneticPr fontId="2"/>
  </si>
  <si>
    <t>医療機関等での登録において、本来は正常であるケースがエラーとならないようになる</t>
    <rPh sb="7" eb="9">
      <t>トウロク</t>
    </rPh>
    <rPh sb="14" eb="16">
      <t>ホンライ</t>
    </rPh>
    <rPh sb="17" eb="19">
      <t>セイジョウ</t>
    </rPh>
    <phoneticPr fontId="2"/>
  </si>
  <si>
    <t>取り下げ理由：プロファイルのバージョンアップに伴う不要なアドオンチェックでのエラーは、個別でチェックロジックの調整(不要なエラーが出るロジックは当該ロジックの開発時に「旧プロファイルの場合は、エラーを回避する」という条件を追加)を行う方針に方向転換し、本案件は取り下げる。（6/24開発課題検討会(臨時) ）</t>
    <rPh sb="0" eb="4">
      <t>トリサゲリ</t>
    </rPh>
    <rPh sb="4" eb="6">
      <t>ユウ</t>
    </rPh>
    <phoneticPr fontId="2"/>
  </si>
  <si>
    <t>■要求事項
現在はアドオンチェックは最新版しか機能提供していないが、医療機関等からリクエストのあったプロファイルのバージョンに対応するアドオンチェックのバージョンでアドオンチェックできるようにする。</t>
    <rPh sb="1" eb="5">
      <t>ヨウキュウジコウ</t>
    </rPh>
    <rPh sb="6" eb="8">
      <t>ゲンザイ</t>
    </rPh>
    <rPh sb="18" eb="21">
      <t>サイシンバン</t>
    </rPh>
    <rPh sb="23" eb="25">
      <t>キノウ</t>
    </rPh>
    <rPh sb="25" eb="27">
      <t>テイキョウ</t>
    </rPh>
    <rPh sb="34" eb="39">
      <t>イリョウキカントウ</t>
    </rPh>
    <rPh sb="63" eb="65">
      <t>タイオウ</t>
    </rPh>
    <phoneticPr fontId="2"/>
  </si>
  <si>
    <t>医療機関等からリクエストのあったプロファイルのバージョンによらず最新バージョンのアドオンチェックで確認が行われる。</t>
    <rPh sb="32" eb="34">
      <t>サイシン</t>
    </rPh>
    <rPh sb="49" eb="51">
      <t>カクニン</t>
    </rPh>
    <rPh sb="52" eb="53">
      <t>オコナ</t>
    </rPh>
    <phoneticPr fontId="2"/>
  </si>
  <si>
    <t>・現在はアドオンチェックは最新版しか機能提供していないが、過去のバージョンを公開し利用できるようにする。
・医療機関等からリクエストのあったプロファイルのバージョンに対応するアドオンチェックのバージョンでアドオンチェックする。</t>
    <phoneticPr fontId="2"/>
  </si>
  <si>
    <t>103</t>
    <phoneticPr fontId="2"/>
  </si>
  <si>
    <t>103_1</t>
    <phoneticPr fontId="2"/>
  </si>
  <si>
    <t>ログ・統計機能の改修</t>
    <rPh sb="3" eb="5">
      <t>トウケイ</t>
    </rPh>
    <rPh sb="5" eb="7">
      <t>キノウ</t>
    </rPh>
    <rPh sb="8" eb="10">
      <t>カイシュウ</t>
    </rPh>
    <phoneticPr fontId="2"/>
  </si>
  <si>
    <t>ログ・統計機能で取得する情報を充足させる</t>
    <rPh sb="3" eb="5">
      <t>トウケイ</t>
    </rPh>
    <rPh sb="5" eb="7">
      <t>キノウ</t>
    </rPh>
    <rPh sb="8" eb="10">
      <t>シュトク</t>
    </rPh>
    <rPh sb="12" eb="14">
      <t>ジョウホウ</t>
    </rPh>
    <rPh sb="15" eb="17">
      <t>ジュウソク</t>
    </rPh>
    <phoneticPr fontId="2"/>
  </si>
  <si>
    <t>■起票背景
電子カルテ情報共有・オン資の実装では、エラーメッセージ等の情報をログとして出力できなく、「モニタリングしたい項目をモニタリングできない」「医療機関側へのエラー詳細を確認する必要がある」等の課題が、テスト・運用実施状況モニタリングやONS問い合わせ対応等の業務で発生している。
※統計帳票で出力不可ではあるが、ログとして出力可能な項目については、事業者にて随時調査が必要なため、工数が発生しリードタイムが発生する
■目的
効率的にテスト・運用実施状況モニタリングやONS問い合わせ対応等の業務を実施し、早期の安定稼働実現、対外説明に必要な情報の定期取得が可能となる。</t>
    <rPh sb="283" eb="285">
      <t>カノウ</t>
    </rPh>
    <phoneticPr fontId="2"/>
  </si>
  <si>
    <t>トラブル対応等のリードタイムが削減され、トラブルからの復旧が早くなる。</t>
    <rPh sb="4" eb="6">
      <t>タイオウ</t>
    </rPh>
    <rPh sb="6" eb="7">
      <t>トウ</t>
    </rPh>
    <rPh sb="15" eb="17">
      <t>サクゲン</t>
    </rPh>
    <rPh sb="27" eb="29">
      <t>フッキュウ</t>
    </rPh>
    <rPh sb="30" eb="31">
      <t>ハヤ</t>
    </rPh>
    <phoneticPr fontId="2"/>
  </si>
  <si>
    <t>運用監視・問い合わせ対応(実施機関)</t>
    <rPh sb="0" eb="2">
      <t>ウンヨウ</t>
    </rPh>
    <rPh sb="2" eb="4">
      <t>カンシ</t>
    </rPh>
    <rPh sb="5" eb="6">
      <t>ト</t>
    </rPh>
    <rPh sb="7" eb="8">
      <t>ア</t>
    </rPh>
    <rPh sb="10" eb="12">
      <t>タイオウ</t>
    </rPh>
    <rPh sb="13" eb="15">
      <t>ジッシ</t>
    </rPh>
    <rPh sb="15" eb="17">
      <t>キカン</t>
    </rPh>
    <phoneticPr fontId="2"/>
  </si>
  <si>
    <r>
      <rPr>
        <b/>
        <sz val="8"/>
        <color rgb="FF000000"/>
        <rFont val="Meiryo UI"/>
        <family val="3"/>
        <charset val="128"/>
      </rPr>
      <t xml:space="preserve">前提：
</t>
    </r>
    <r>
      <rPr>
        <sz val="8"/>
        <color rgb="FF000000"/>
        <rFont val="Meiryo UI"/>
        <family val="3"/>
        <charset val="128"/>
      </rPr>
      <t>・週次、月次、任意で集計期間を選べるようにする
・出力は、「医療機関別（医療機関・診療科）」「保険者別」「地域別（都道府県・二次医療圏）」「患者情報別（患者・年齢・性別）」で選べるようにする
・既存の帳票の改修に制限せず、ログをインプットとしBIツール等を用いた、拡張性の高い実装方式を開発事業者(NTTデータ・富士通)から提案いただきたい
■要求事項１：情報別・機能別・保険者別で以下について確認できる
・どの医療機関等(システムベンダ含め)が、
・どの情報(情報種別(臨床情報は、傷病名、検査情報・感染症情報、検査・感染症のJLACコード別・FHIR識別文字列別、薬剤アレルギー等情報、その他アレルギー等情報を区別する。健診文書の閲覧においては電カル共有由来の健診文書を区別する。)とID等の特定キー)について、
・どのようなリクエスト(登録・閲覧等)を
・いつ(要求受付日時)実行し、
・どのようなレスポンス(成功/失敗、エラーコード、メッセージ)が、
・いつ(要求返却日時)返却されたか。
・リクエストの送付方法（資格確認端末（Webアプリ）/外部IFのどちらから投げられたか）別の件数　※外部IFについては資格確認端末経由方式/WebAPI方式を区別して集計
■要求事項２：情報別(臨床情報は、傷病名、検査情報・感染症情報、検査・感染症のJLACコード別・FHIR識別文字列別、薬剤アレルギー等情報、その他アレルギー等情報を区別する。健診文書の閲覧においては電カル共有由来の健診文書を区別する。)で以下について確認できる
・医療機関閲覧に係る同意/不同意の取得件数(取得端末別)
・フラグ（未告知・未提供・長期保存）が付与された割合
・ダミーコードが利用された割合(ダミーコードの利用件数/(ダミーコードを除く標準マスタのコード利用件数 + ダミーコードの利用件数))　※ダミーコードの対象に含めるコードは別途確認
・入外来区別
■要求事項３：文書情報登録で以下について確認できる
・患者同意が「同意する」で登録される割合
・傷病名・薬剤アレルギー等・その他アレルギー等・検査・感染症・処方の構造化データ割合（リソースを利用しているか叙述的に書いているか）
・文書単位の添付ファイル数
・入外来区別
■要求事項４：健診文書登録で以下について確認できる
・健診文書が登録されるまでのリードタイム（登録日と健診実施日の差分）
■要求事項５：マイナポータルから返却される情報について以下を確認できる。
・患者（被保険者番号）別、患者年齢別、患者性別の、臨床情報（傷病名・薬剤アレルギー等・その他アレルギー等・検査・感染症）への同意情報</t>
    </r>
    <phoneticPr fontId="2"/>
  </si>
  <si>
    <t>ログ・統計管理機能</t>
    <rPh sb="3" eb="5">
      <t>トウケイ</t>
    </rPh>
    <rPh sb="5" eb="7">
      <t>カンリ</t>
    </rPh>
    <rPh sb="7" eb="9">
      <t>キノウ</t>
    </rPh>
    <phoneticPr fontId="2"/>
  </si>
  <si>
    <r>
      <t xml:space="preserve">要件について問題ないか確認したい。（正式見積もりを開始して良いか）
</t>
    </r>
    <r>
      <rPr>
        <sz val="11"/>
        <color rgb="FFFF0000"/>
        <rFont val="Meiryo UI"/>
        <family val="3"/>
        <charset val="128"/>
      </rPr>
      <t>→指摘修正済、モデルから要件出る予定</t>
    </r>
    <rPh sb="0" eb="2">
      <t>ヨウケン</t>
    </rPh>
    <rPh sb="6" eb="8">
      <t>モンダイ</t>
    </rPh>
    <rPh sb="11" eb="13">
      <t>カクニン</t>
    </rPh>
    <rPh sb="18" eb="20">
      <t>セイシキ</t>
    </rPh>
    <rPh sb="20" eb="22">
      <t>ミツ</t>
    </rPh>
    <rPh sb="25" eb="27">
      <t>カイシ</t>
    </rPh>
    <rPh sb="29" eb="30">
      <t>ヨ</t>
    </rPh>
    <rPh sb="35" eb="37">
      <t>シテキ</t>
    </rPh>
    <rPh sb="37" eb="39">
      <t>シュウセイ</t>
    </rPh>
    <rPh sb="39" eb="40">
      <t>スミ</t>
    </rPh>
    <rPh sb="46" eb="48">
      <t>ヨウケン</t>
    </rPh>
    <rPh sb="48" eb="49">
      <t>デ</t>
    </rPh>
    <rPh sb="50" eb="52">
      <t>ヨテイ</t>
    </rPh>
    <phoneticPr fontId="2"/>
  </si>
  <si>
    <t>103_2</t>
    <phoneticPr fontId="2"/>
  </si>
  <si>
    <t>ログ・統計機能の改善</t>
    <rPh sb="3" eb="5">
      <t>トウケイ</t>
    </rPh>
    <rPh sb="5" eb="7">
      <t>キノウ</t>
    </rPh>
    <rPh sb="8" eb="10">
      <t>カイゼン</t>
    </rPh>
    <phoneticPr fontId="2"/>
  </si>
  <si>
    <t>取り下げ理由：当該案件に関しては、基金内及びJAHISとの調整に時間を要するため取り下げ、既存案件ID046として3月リリース案件とする（7/7開発課題検討会）</t>
    <rPh sb="0" eb="4">
      <t>トリサゲリ</t>
    </rPh>
    <rPh sb="4" eb="6">
      <t>ユウ</t>
    </rPh>
    <rPh sb="7" eb="9">
      <t>トウガイ</t>
    </rPh>
    <rPh sb="9" eb="11">
      <t>アンケン</t>
    </rPh>
    <rPh sb="12" eb="13">
      <t>カン</t>
    </rPh>
    <rPh sb="40" eb="41">
      <t>ト</t>
    </rPh>
    <rPh sb="42" eb="43">
      <t>サ</t>
    </rPh>
    <rPh sb="58" eb="59">
      <t>ガツ</t>
    </rPh>
    <rPh sb="63" eb="65">
      <t>アンケン</t>
    </rPh>
    <phoneticPr fontId="2"/>
  </si>
  <si>
    <t>前提：
・週次、月次、任意で集計期間を選べるようにする
・出力は、「医療機関別（医療機関・診療科）」「保険者別」「地域別（都道府県・二次医療圏）」「患者情報別（患者・年齢・性別）」で選べるようにする
・既存の帳票の改修に制限せず、ログをインプットとしBIツール等を用いた、拡張性の高い実装方式を開発事業者(NTTデータ・富士通)から提案いただきたい
■要求事項１：情報別・機能別・保険者別で以下について確認できる
・どの医療機関等(システムベンダ含め)が、
・どの情報(情報種別(臨床情報は、傷病名、検査情報・感染症情報、検査・感染症のJLACコード別・FHIR識別文字列別、薬剤アレルギー等情報、その他アレルギー等情報を区別する。健診文書の閲覧においては電カル共有由来の健診文書を区別する。)とID等の特定キー)について、
・どのようなリクエスト(登録・閲覧等)を
・いつ(要求受付日時)実行し、
・どのようなレスポンス(成功/失敗、エラーコード、メッセージ)が、
・いつ(要求返却日時)返却されたか。
・リクエストの送付方法（資格確認端末（Webアプリ）/外部IFのどちらから投げられたか）別の件数　※外部IFについては資格確認端末経由方式/WebAPI方式を区別して集計
■要求事項２：情報別(臨床情報は、傷病名、検査情報・感染症情報、検査・感染症のJLACコード別・FHIR識別文字列別、薬剤アレルギー等情報、その他アレルギー等情報を区別する。健診文書の閲覧においては電カル共有由来の健診文書を区別する。)で以下について確認できる
・医療機関閲覧に係る同意/不同意の取得件数(取得端末別)
・フラグ（未告知・未提供・長期保存）が付与された割合
・ダミーコードが利用された割合(ダミーコードの利用件数/(ダミーコードを除く標準マスタのコード利用件数 + ダミーコードの利用件数))　※ダミーコードの対象に含めるコードは別途確認
・入外来区別
■要求事項３：文書情報登録で以下について確認できる
・患者同意が「同意する」で登録される割合
・傷病名・薬剤アレルギー等・その他アレルギー等・検査・感染症・処方の構造化データ割合（リソースを利用しているか叙述的に書いているか）
・文書単位の添付ファイル数
・入外来区別
■要求事項４：健診文書登録で以下について確認できる
・健診文書が登録されるまでのリードタイム（登録日と健診実施日の差分）
■要求事項５：マイナポータルから返却される情報について以下を確認できる。
・患者（被保険者番号）別、患者年齢別、患者性別の、臨床情報（傷病名・薬剤アレルギー等・その他アレルギー等・検査・感染症）への同意情報</t>
    <phoneticPr fontId="2"/>
  </si>
  <si>
    <t>文書情報登録機能
臨床情報登録機能
健診文書登録機能　
患者サマリ登録機能</t>
    <rPh sb="0" eb="2">
      <t>ブンショ</t>
    </rPh>
    <rPh sb="2" eb="4">
      <t>ジョウホウ</t>
    </rPh>
    <rPh sb="4" eb="6">
      <t>トウロク</t>
    </rPh>
    <rPh sb="6" eb="8">
      <t>キノウ</t>
    </rPh>
    <rPh sb="9" eb="11">
      <t>リンショウ</t>
    </rPh>
    <rPh sb="11" eb="13">
      <t>ジョウホウ</t>
    </rPh>
    <rPh sb="13" eb="15">
      <t>トウロク</t>
    </rPh>
    <rPh sb="15" eb="17">
      <t>キノウ</t>
    </rPh>
    <rPh sb="18" eb="20">
      <t>ケンシン</t>
    </rPh>
    <rPh sb="20" eb="22">
      <t>ブンショ</t>
    </rPh>
    <rPh sb="22" eb="24">
      <t>トウロク</t>
    </rPh>
    <rPh sb="24" eb="26">
      <t>キノウ</t>
    </rPh>
    <rPh sb="28" eb="30">
      <t>カンジャ</t>
    </rPh>
    <rPh sb="33" eb="35">
      <t>トウロク</t>
    </rPh>
    <rPh sb="35" eb="37">
      <t>キノウ</t>
    </rPh>
    <phoneticPr fontId="2"/>
  </si>
  <si>
    <t xml:space="preserve">■要求事項1：下記の外部IFの「メッセージヘッダー」に①ソフトウェア名称②ソフトウェアバージョン③ソフトウェア開発元　を任意項目として追加する。
・文書情報登録要求（CIS-IF-101）
・カルテ臨床情報登録要求（CIS-IF-201）
・健診文書登録要求（CIS-IF-120）
・患者サマリ登録要求（CIS-IF-126）
■要求事項2：①②③XML要求ファイルにおける入力規則は以下とする。
・出現回数（最小）：0
・出現回数（最大）：1
・データ型：文字列
・桁数（最大）：255
・可変長/固定長：可変長
</t>
    <phoneticPr fontId="2"/>
  </si>
  <si>
    <t>別紙_登録要求XMLファイルレイアウト（案件ID：103）</t>
  </si>
  <si>
    <t>105</t>
    <phoneticPr fontId="2"/>
  </si>
  <si>
    <t>105_1</t>
    <phoneticPr fontId="2"/>
  </si>
  <si>
    <t>hasmember要素を利用した一連検査グループコードの記録チェック</t>
    <phoneticPr fontId="2"/>
  </si>
  <si>
    <t>ACN・向井</t>
    <rPh sb="4" eb="6">
      <t>ムカイ</t>
    </rPh>
    <phoneticPr fontId="2"/>
  </si>
  <si>
    <t>健診文書の登録におけるバリデーションチェック(アドオンチェック)において、FHIR記述仕様および健診マスタで規定している一連検査グループコードにかかる記述ルールがチェックされていない</t>
    <rPh sb="0" eb="4">
      <t>ケンシンブンショ</t>
    </rPh>
    <rPh sb="5" eb="7">
      <t>トウロク</t>
    </rPh>
    <rPh sb="41" eb="45">
      <t>キジュツシヨウ</t>
    </rPh>
    <rPh sb="48" eb="50">
      <t>ケンシン</t>
    </rPh>
    <rPh sb="54" eb="56">
      <t>キテイ</t>
    </rPh>
    <rPh sb="75" eb="77">
      <t>キジュツ</t>
    </rPh>
    <phoneticPr fontId="2"/>
  </si>
  <si>
    <t>■起票背景
健診マスタ上、一連検査グループコードが指定されている項目は、FHIR記述仕様に則りhasmember要素を使って複数Observationリソースを紐づける記述の仕方をすべきである。
一方で、上記の記述が正しくされているかどうかのバリデーションチェック(アドオンチェック)が行われていないことがONSの問い合わせ起因で発覚したため、次回の開発課題検討会にて付議し、12月リリースの案件としても追加したい。
■目的
FHIR記述仕様および健診マスタで規定している通りのルールで正しく健診文書が記述されているかをチェックする。</t>
    <rPh sb="1" eb="5">
      <t>キヒョウハイケイ</t>
    </rPh>
    <rPh sb="211" eb="213">
      <t>モクテキ</t>
    </rPh>
    <rPh sb="237" eb="238">
      <t>トオ</t>
    </rPh>
    <rPh sb="244" eb="245">
      <t>タダ</t>
    </rPh>
    <rPh sb="247" eb="251">
      <t>ケンシンブンショ</t>
    </rPh>
    <rPh sb="252" eb="254">
      <t>キジュツ</t>
    </rPh>
    <phoneticPr fontId="2"/>
  </si>
  <si>
    <t>■要求事項
健診マスタ上、一連検査グループコードが指定されている項目は、FHIR記述仕様に則りhasmember要素を使って複数Observationリソースを紐づける記述の仕方がなされているかをアドオンチェックでチェックする。</t>
    <rPh sb="1" eb="5">
      <t>ヨウキュウジコウ</t>
    </rPh>
    <phoneticPr fontId="2"/>
  </si>
  <si>
    <t>健診マスタ上、一連検査グループコードが指定されている項目であっても、hasmember要素で複数Observationリソースを紐づける記述方法をとっているか、関係づけせずに個別のObservationリソースに記録する記述方法をとっているかチェックしていない。</t>
    <rPh sb="68" eb="72">
      <t>キジュツホウホウ</t>
    </rPh>
    <rPh sb="110" eb="114">
      <t>キジュツホウホウ</t>
    </rPh>
    <phoneticPr fontId="2"/>
  </si>
  <si>
    <t>106</t>
  </si>
  <si>
    <t>106_1</t>
    <phoneticPr fontId="2"/>
  </si>
  <si>
    <t>薬剤系マスタへの変更区分のカラム追加</t>
    <rPh sb="0" eb="2">
      <t>ヤクザイ</t>
    </rPh>
    <rPh sb="2" eb="3">
      <t>ケイ</t>
    </rPh>
    <rPh sb="8" eb="10">
      <t>ヘンコウ</t>
    </rPh>
    <rPh sb="10" eb="12">
      <t>クブン</t>
    </rPh>
    <rPh sb="16" eb="18">
      <t>ツイカ</t>
    </rPh>
    <phoneticPr fontId="2"/>
  </si>
  <si>
    <t>薬剤アレルギー用コードマスタ、個別医薬品コード(YJコード)リストに「変更区分」のカラムを追加する</t>
    <rPh sb="0" eb="2">
      <t>ヤクザイ</t>
    </rPh>
    <rPh sb="7" eb="8">
      <t>ヨウ</t>
    </rPh>
    <rPh sb="35" eb="39">
      <t>ヘンコウクブン</t>
    </rPh>
    <rPh sb="45" eb="47">
      <t>ツイカ</t>
    </rPh>
    <phoneticPr fontId="2"/>
  </si>
  <si>
    <t>■起票背景
薬剤アレルギー用コードマスタ、個別医薬品コード(YJコード)リスト(以下薬剤系マスタ)について、中央基盤の仕様に合わせて「変更区分」のカラムを削除して配信していた。中央基盤側の改修が可能になったため、薬剤系マスタのカラムへ「変更区分」を追加。
■目的
「変更区分」を追加することにより、マスタの更新箇所が分かるようにし、医療機関システムへの反映の負荷を軽減させる。</t>
  </si>
  <si>
    <t>■要求事項
・機能：標準マスタ管理・提供機能
・内容：薬剤アレルギー用コードマスタ、個別医薬品コード(YJコード)リストのカラムへ「変更区分」を追加した各種マスタを取り込み、管理、提供できるようにする。</t>
    <phoneticPr fontId="2"/>
  </si>
  <si>
    <t>薬剤アレルギー用コードマスタ、個別医薬品コード(YJコード)リストのカラムに「変更区分」がない</t>
    <phoneticPr fontId="2"/>
  </si>
  <si>
    <t>薬剤アレルギー用コードマスタ、個別医薬品コード(YJコード)リストのカラムへ「変更区分」を追加した各種マスタを取り込み、管理、提供できるようにする。</t>
    <phoneticPr fontId="2"/>
  </si>
  <si>
    <t>薬剤アレルギー用コードマスタ、個別医薬品コード(YJコード)リスト</t>
    <phoneticPr fontId="2"/>
  </si>
  <si>
    <t>107</t>
    <phoneticPr fontId="2"/>
  </si>
  <si>
    <r>
      <t>生保</t>
    </r>
    <r>
      <rPr>
        <sz val="11"/>
        <color theme="6"/>
        <rFont val="Meiryo UI"/>
        <family val="3"/>
        <charset val="128"/>
      </rPr>
      <t>の資格を有する</t>
    </r>
    <r>
      <rPr>
        <sz val="11"/>
        <color rgb="FFFF0000"/>
        <rFont val="Meiryo UI"/>
        <family val="3"/>
        <charset val="128"/>
      </rPr>
      <t>人についての登録対象となる健診種別</t>
    </r>
    <rPh sb="3" eb="5">
      <t>シカク</t>
    </rPh>
    <rPh sb="6" eb="7">
      <t>ユウ</t>
    </rPh>
    <rPh sb="9" eb="10">
      <t>ヒト</t>
    </rPh>
    <rPh sb="17" eb="19">
      <t>タイショウ</t>
    </rPh>
    <rPh sb="22" eb="24">
      <t>ケンシン</t>
    </rPh>
    <rPh sb="24" eb="26">
      <t>シュベツ</t>
    </rPh>
    <phoneticPr fontId="2"/>
  </si>
  <si>
    <r>
      <rPr>
        <strike/>
        <sz val="11"/>
        <color theme="6"/>
        <rFont val="Meiryo UI"/>
        <family val="3"/>
        <charset val="128"/>
      </rPr>
      <t>被用者保険に加入していない、</t>
    </r>
    <r>
      <rPr>
        <sz val="11"/>
        <color rgb="FFFF0000"/>
        <rFont val="Meiryo UI"/>
        <family val="3"/>
        <charset val="128"/>
      </rPr>
      <t>生活保護受給者が受けることのできる健診種別に限って本サービスへの登録を可能にする</t>
    </r>
    <rPh sb="0" eb="1">
      <t>ヒ</t>
    </rPh>
    <rPh sb="1" eb="2">
      <t>ヨウ</t>
    </rPh>
    <rPh sb="2" eb="3">
      <t>シャ</t>
    </rPh>
    <rPh sb="3" eb="5">
      <t>ホケン</t>
    </rPh>
    <rPh sb="6" eb="8">
      <t>カニュウ</t>
    </rPh>
    <rPh sb="14" eb="21">
      <t>セイカツホゴジュキュウシャ</t>
    </rPh>
    <rPh sb="22" eb="23">
      <t>ウ</t>
    </rPh>
    <rPh sb="31" eb="33">
      <t>ケンシン</t>
    </rPh>
    <rPh sb="33" eb="35">
      <t>シュベツ</t>
    </rPh>
    <rPh sb="36" eb="37">
      <t>カギ</t>
    </rPh>
    <rPh sb="39" eb="40">
      <t>ホン</t>
    </rPh>
    <rPh sb="46" eb="48">
      <t>トウロク</t>
    </rPh>
    <rPh sb="49" eb="51">
      <t>カノウ</t>
    </rPh>
    <phoneticPr fontId="2"/>
  </si>
  <si>
    <r>
      <t xml:space="preserve">■起票背景
</t>
    </r>
    <r>
      <rPr>
        <strike/>
        <sz val="11"/>
        <color theme="6"/>
        <rFont val="Meiryo UI"/>
        <family val="3"/>
        <charset val="128"/>
      </rPr>
      <t>被用者保険に加入していない、</t>
    </r>
    <r>
      <rPr>
        <sz val="11"/>
        <color rgb="FFFF0000"/>
        <rFont val="Meiryo UI"/>
        <family val="3"/>
        <charset val="128"/>
      </rPr>
      <t>生活保護受給者について、当該受給者番号を入力した健診文書はどの健診種別であっても本サービスへ登録可能なことが判明した。
しかし、実際は、以下の健診種別については、</t>
    </r>
    <r>
      <rPr>
        <strike/>
        <sz val="11"/>
        <color theme="6"/>
        <rFont val="Meiryo UI"/>
        <family val="3"/>
        <charset val="128"/>
      </rPr>
      <t>被用者保険に加入していない</t>
    </r>
    <r>
      <rPr>
        <sz val="11"/>
        <color rgb="FFFF0000"/>
        <rFont val="Meiryo UI"/>
        <family val="3"/>
        <charset val="128"/>
      </rPr>
      <t>生活保護受給者は受けることのできない健診種別であるため、当該受給者番号が記録されている以下の健診種別の健診文書は、保険情報が間違っているため登録エラーとすべきである。
・特定健康診査（特定健診）
・後期高齢者医療健康診査（後期高齢者健診）
・事業主健診（一般定期健康診断）
・学校保健安全法、及び労働安全衛生法に基づく職員健診
・保険者が実施する特定健診等以外の健診
■目的
間違った保険情報を記録した健診文書が保存されないようにする。</t>
    </r>
    <phoneticPr fontId="2"/>
  </si>
  <si>
    <t>間違った保険情報を記録した健診文書がオン資に保存されないようにすることで、正確でないデータを減らし、将来的な２次利用において精度の高いデータを活用できるようにする。それにより、国民の健康増進に資する。</t>
    <rPh sb="0" eb="2">
      <t>マチガ</t>
    </rPh>
    <rPh sb="20" eb="21">
      <t>シ</t>
    </rPh>
    <rPh sb="37" eb="39">
      <t>セイカク</t>
    </rPh>
    <rPh sb="46" eb="47">
      <t>ヘ</t>
    </rPh>
    <rPh sb="71" eb="73">
      <t>カツヨウ</t>
    </rPh>
    <rPh sb="88" eb="90">
      <t>コクミン</t>
    </rPh>
    <rPh sb="91" eb="95">
      <t>ケンコウゾウシン</t>
    </rPh>
    <rPh sb="96" eb="97">
      <t>シ</t>
    </rPh>
    <phoneticPr fontId="2"/>
  </si>
  <si>
    <t>国保中央会：済
支払基金分析評価部：済</t>
    <rPh sb="0" eb="5">
      <t>コクホチュウオウカイ</t>
    </rPh>
    <rPh sb="6" eb="7">
      <t>スミ</t>
    </rPh>
    <rPh sb="18" eb="19">
      <t>スミ</t>
    </rPh>
    <phoneticPr fontId="2"/>
  </si>
  <si>
    <r>
      <t>■要求事項
以下の健診種別の健診文書について、</t>
    </r>
    <r>
      <rPr>
        <strike/>
        <sz val="10"/>
        <color theme="6"/>
        <rFont val="Meiryo UI"/>
        <family val="3"/>
        <charset val="128"/>
      </rPr>
      <t>健診実施日時点で「被用者保険に加入していない</t>
    </r>
    <r>
      <rPr>
        <sz val="10"/>
        <color rgb="FFFF0000"/>
        <rFont val="Meiryo UI"/>
        <family val="3"/>
        <charset val="128"/>
      </rPr>
      <t>「</t>
    </r>
    <r>
      <rPr>
        <sz val="10"/>
        <color rgb="FFFF0000"/>
        <rFont val="Meiryo UI"/>
        <family val="3"/>
      </rPr>
      <t>生活保護受給者」の「受給者番号」が入力されている場合は、登録エラーとする。
・特定健康診査（特定健診）
・後期高齢者医療健康診査（後期高齢者健診）
・事業主健診（一般定期健康診断）
・学校保健安全法、及び労働安全衛生法に基づく職員健診
・保険者が実施する特定健診等以外の健診</t>
    </r>
    <phoneticPr fontId="2"/>
  </si>
  <si>
    <r>
      <rPr>
        <strike/>
        <sz val="11"/>
        <color theme="6"/>
        <rFont val="Meiryo UI"/>
        <family val="3"/>
        <charset val="128"/>
      </rPr>
      <t>被用者保険に加入していない、</t>
    </r>
    <r>
      <rPr>
        <sz val="11"/>
        <color rgb="FFFF0000"/>
        <rFont val="Meiryo UI"/>
        <family val="3"/>
        <charset val="128"/>
      </rPr>
      <t>生活保護受給者について、当該受給者番号を入力した健診文書はどの健診種別であっても本サービスへ登録可能</t>
    </r>
    <phoneticPr fontId="2"/>
  </si>
  <si>
    <r>
      <t>以下の健診種別の健診文書について、</t>
    </r>
    <r>
      <rPr>
        <strike/>
        <sz val="10"/>
        <color theme="6"/>
        <rFont val="Meiryo UI"/>
        <family val="3"/>
        <charset val="128"/>
      </rPr>
      <t>健診実施日時点で「被用者保険に加入していない</t>
    </r>
    <r>
      <rPr>
        <sz val="10"/>
        <color rgb="FFFF0000"/>
        <rFont val="Meiryo UI"/>
        <family val="3"/>
        <charset val="128"/>
      </rPr>
      <t>「</t>
    </r>
    <r>
      <rPr>
        <sz val="10"/>
        <color rgb="FFFF0000"/>
        <rFont val="Meiryo UI"/>
        <family val="3"/>
      </rPr>
      <t>生活保護受給者」の受給者番号が入力されている場合は、登録エラーとする。
&lt;凡例&gt;
・【プログラムサービスコード：報告区分コード】健診種別　
・【010:10】特定健康診査（特定健診）
・【020:10】後期高齢者医療健康診査（後期高齢者健診）
・【030:41】事業主健診（一般定期健康診断）
・【040:41】学校保健安全法、及び労働安全衛生法に基づく職員健診
・【080:80】保険者が実施する特定健診等以外の健診　</t>
    </r>
    <phoneticPr fontId="2"/>
  </si>
  <si>
    <t>108</t>
    <phoneticPr fontId="2"/>
  </si>
  <si>
    <t>医保・生保併用の人についての健診文書の振り替え対応</t>
    <rPh sb="0" eb="2">
      <t>イホ</t>
    </rPh>
    <rPh sb="5" eb="7">
      <t>ヘイヨウ</t>
    </rPh>
    <rPh sb="8" eb="9">
      <t>ヒト</t>
    </rPh>
    <rPh sb="14" eb="18">
      <t>ケンシンブンショ</t>
    </rPh>
    <rPh sb="19" eb="20">
      <t>フ</t>
    </rPh>
    <rPh sb="21" eb="22">
      <t>カ</t>
    </rPh>
    <rPh sb="23" eb="25">
      <t>タイオウ</t>
    </rPh>
    <phoneticPr fontId="2"/>
  </si>
  <si>
    <t>被用者保険・生活保護を併用している者の健診文書について、生活保護では受けられない健診種別（以下）があるため、受給者番号を記録した以下の種類の健診文書については、保険情報が間違っているとして被用者保険の情報に振り替える</t>
    <rPh sb="0" eb="1">
      <t>ヒ</t>
    </rPh>
    <rPh sb="1" eb="2">
      <t>ヨウ</t>
    </rPh>
    <rPh sb="2" eb="3">
      <t>シャ</t>
    </rPh>
    <rPh sb="3" eb="5">
      <t>ホケン</t>
    </rPh>
    <rPh sb="6" eb="8">
      <t>セイカツ</t>
    </rPh>
    <rPh sb="8" eb="10">
      <t>ホゴ</t>
    </rPh>
    <rPh sb="11" eb="13">
      <t>ヘイヨウ</t>
    </rPh>
    <rPh sb="17" eb="18">
      <t>モノ</t>
    </rPh>
    <rPh sb="19" eb="21">
      <t>ケンシン</t>
    </rPh>
    <rPh sb="21" eb="23">
      <t>ブンショ</t>
    </rPh>
    <rPh sb="42" eb="44">
      <t>シュベツ</t>
    </rPh>
    <rPh sb="45" eb="47">
      <t>イカ</t>
    </rPh>
    <rPh sb="54" eb="59">
      <t>ジュキュウシャバンゴウ</t>
    </rPh>
    <rPh sb="64" eb="66">
      <t>イカ</t>
    </rPh>
    <rPh sb="67" eb="69">
      <t>シュルイ</t>
    </rPh>
    <rPh sb="80" eb="82">
      <t>ホケン</t>
    </rPh>
    <rPh sb="82" eb="84">
      <t>ジョウホウ</t>
    </rPh>
    <rPh sb="85" eb="87">
      <t>マチガ</t>
    </rPh>
    <rPh sb="94" eb="99">
      <t>ヒヨウシャホケン</t>
    </rPh>
    <rPh sb="100" eb="102">
      <t>ジョウホウ</t>
    </rPh>
    <rPh sb="103" eb="104">
      <t>フ</t>
    </rPh>
    <rPh sb="105" eb="106">
      <t>カ</t>
    </rPh>
    <phoneticPr fontId="2"/>
  </si>
  <si>
    <t>■起票背景
被用者保険・生活保護を併用している者の健診文書について、被保険者番号を記録しても受給者番号を記録しても、どの健診種別であっても本サービスへ登録可能なことが判明した。
しかし、実際は、生活保護受給者では受けられない健診種別（以下）があるため、受給者番号を記録した以下の種類の健診文書については、保険情報が間違っているとして被用者保険の情報に振り替える必要がある。
・特定健康診査（特定健診）
・後期高齢者医療健康診査（後期高齢者健診）
・事業主健診（一般定期健康診断）
・学校保健安全法、及び労働安全衛生法に基づく職員健診
・保険者が実施する特定健診等以外の健診
■目的
間違った保険情報を記録した健診文書が保存されないようにし、ただしい保険者に健診データを連携する。</t>
  </si>
  <si>
    <t>間違った保険情報を記録した健診文書がオン資に保存されないようにすることで、正確でないデータを減らし、将来的な２次利用において精度の高いデータを活用できるようにする。それにより、国民の健康増進に資する。
正しい保険者に健診データを連携することができるため、より多くの国民について保険者による健診データの有効活用ができる。</t>
    <rPh sb="0" eb="2">
      <t>マチガ</t>
    </rPh>
    <rPh sb="20" eb="21">
      <t>シ</t>
    </rPh>
    <rPh sb="37" eb="39">
      <t>セイカク</t>
    </rPh>
    <rPh sb="46" eb="47">
      <t>ヘ</t>
    </rPh>
    <rPh sb="71" eb="73">
      <t>カツヨウ</t>
    </rPh>
    <rPh sb="88" eb="90">
      <t>コクミン</t>
    </rPh>
    <rPh sb="91" eb="95">
      <t>ケンコウゾウシン</t>
    </rPh>
    <rPh sb="96" eb="97">
      <t>シ</t>
    </rPh>
    <rPh sb="101" eb="102">
      <t>タダ</t>
    </rPh>
    <rPh sb="104" eb="107">
      <t>ホケンジャ</t>
    </rPh>
    <rPh sb="108" eb="110">
      <t>ケンシン</t>
    </rPh>
    <rPh sb="114" eb="116">
      <t>レンケイ</t>
    </rPh>
    <rPh sb="138" eb="141">
      <t>ホケンジャ</t>
    </rPh>
    <rPh sb="144" eb="146">
      <t>ケンシン</t>
    </rPh>
    <rPh sb="150" eb="154">
      <t>ユウコウカツヨウ</t>
    </rPh>
    <phoneticPr fontId="2"/>
  </si>
  <si>
    <t>国保中央会：済
支払基金分析評価部：済
保険者：未着手</t>
    <rPh sb="0" eb="2">
      <t>コクホ</t>
    </rPh>
    <rPh sb="2" eb="5">
      <t>チュウオウカイ</t>
    </rPh>
    <rPh sb="6" eb="7">
      <t>スミ</t>
    </rPh>
    <rPh sb="8" eb="10">
      <t>シハライ</t>
    </rPh>
    <rPh sb="10" eb="12">
      <t>キキン</t>
    </rPh>
    <rPh sb="12" eb="14">
      <t>ブンセキ</t>
    </rPh>
    <rPh sb="14" eb="16">
      <t>ヒョウカ</t>
    </rPh>
    <rPh sb="16" eb="17">
      <t>ブ</t>
    </rPh>
    <rPh sb="18" eb="19">
      <t>スミ</t>
    </rPh>
    <rPh sb="20" eb="23">
      <t>ホケンジャ</t>
    </rPh>
    <rPh sb="24" eb="27">
      <t>ミチャクシュ</t>
    </rPh>
    <phoneticPr fontId="2"/>
  </si>
  <si>
    <t>取り下げ理由：
健診文書において受給者番号を入力した場合はエラーとする方針となったため
（7/1基金・国保中央会・厚労省 健診打ち合わせ）</t>
    <rPh sb="0" eb="1">
      <t>ト</t>
    </rPh>
    <rPh sb="2" eb="3">
      <t>サ</t>
    </rPh>
    <rPh sb="4" eb="6">
      <t>リユウ</t>
    </rPh>
    <rPh sb="8" eb="12">
      <t>ケンシンブンショ</t>
    </rPh>
    <rPh sb="16" eb="19">
      <t>ジュキュウシャ</t>
    </rPh>
    <rPh sb="19" eb="21">
      <t>バンゴウ</t>
    </rPh>
    <rPh sb="22" eb="24">
      <t>ニュウリョク</t>
    </rPh>
    <rPh sb="26" eb="28">
      <t>バアイ</t>
    </rPh>
    <rPh sb="35" eb="37">
      <t>ホウシン</t>
    </rPh>
    <phoneticPr fontId="2"/>
  </si>
  <si>
    <t>■要求事項
以下の健診種別の健診文書登録において、健診実施日時点で「被用者保険・生活保護を併用している」者の「受給者番号」が入力されている場合は、健診実施日時点の有効な「被保険者番号」に振り替えて、健診実施日時点の有効な「被保険者番号」を払い出した保険者に連携する。
・特定健康診査（特定健診）
・後期高齢者医療健康診査（後期高齢者健診）
・事業主健診（一般定期健康診断）
・学校保健安全法、及び労働安全衛生法に基づく職員健診
・保険者が実施する特定健診等以外の健診</t>
    <phoneticPr fontId="2"/>
  </si>
  <si>
    <t>被用者保険・生活保護併用者者については、受給者番号を記録しても、被保険者番号を記録しても、記録した保険情報のまま本サービスに保存される。</t>
    <rPh sb="10" eb="12">
      <t>ヘイヨウ</t>
    </rPh>
    <rPh sb="12" eb="13">
      <t>シャ</t>
    </rPh>
    <rPh sb="13" eb="14">
      <t>シャ</t>
    </rPh>
    <rPh sb="26" eb="28">
      <t>キロク</t>
    </rPh>
    <rPh sb="32" eb="38">
      <t>ヒホケンシャバンゴウ</t>
    </rPh>
    <rPh sb="39" eb="41">
      <t>キロク</t>
    </rPh>
    <rPh sb="45" eb="47">
      <t>キロク</t>
    </rPh>
    <rPh sb="49" eb="53">
      <t>ホケンジョウホウ</t>
    </rPh>
    <rPh sb="62" eb="64">
      <t>ホゾン</t>
    </rPh>
    <phoneticPr fontId="2"/>
  </si>
  <si>
    <t>以下の健診種別の健診文書登録において、健診実施日時点で「被用者保険・生活保護を併用している」者の「受給者番号」が入力されている場合は、健診実施日時点の有効な「被保険者番号」に振り替えて、健診実施日時点の有効な「被保険者番号」を払い出した保険者に連携する。
&lt;凡例&gt;
・【プログラムサービスコード：報告区分コード】健診種別　
・【010:10】特定健康診査（特定健診）
・【020:10】後期高齢者医療健康診査（後期高齢者健診）
・【030:41】事業主健診（一般定期健康診断）
・【040:41】学校保健安全法、及び労働安全衛生法に基づく職員健診
・【080:80】保険者が実施する特定健診等以外の健診　</t>
    <phoneticPr fontId="2"/>
  </si>
  <si>
    <t>109</t>
    <phoneticPr fontId="2"/>
  </si>
  <si>
    <t>医保単独の人について、保険情報が誤って記録された健診文書の振り替え対応（生保(誤)→医保(正)への振り替え対応）</t>
    <rPh sb="0" eb="2">
      <t>イホ</t>
    </rPh>
    <rPh sb="2" eb="4">
      <t>タンドク</t>
    </rPh>
    <rPh sb="5" eb="6">
      <t>ヒト</t>
    </rPh>
    <rPh sb="11" eb="13">
      <t>ホケン</t>
    </rPh>
    <rPh sb="13" eb="15">
      <t>ジョウホウ</t>
    </rPh>
    <rPh sb="16" eb="17">
      <t>アヤマ</t>
    </rPh>
    <rPh sb="19" eb="21">
      <t>キロク</t>
    </rPh>
    <rPh sb="24" eb="28">
      <t>ケンシンブンショ</t>
    </rPh>
    <rPh sb="29" eb="30">
      <t>フ</t>
    </rPh>
    <rPh sb="31" eb="32">
      <t>カ</t>
    </rPh>
    <rPh sb="33" eb="35">
      <t>タイオウ</t>
    </rPh>
    <rPh sb="36" eb="38">
      <t>セイホ</t>
    </rPh>
    <rPh sb="39" eb="40">
      <t>アヤマ</t>
    </rPh>
    <rPh sb="42" eb="44">
      <t>イホ</t>
    </rPh>
    <rPh sb="45" eb="46">
      <t>タダ</t>
    </rPh>
    <rPh sb="49" eb="50">
      <t>フ</t>
    </rPh>
    <rPh sb="51" eb="52">
      <t>カ</t>
    </rPh>
    <rPh sb="53" eb="55">
      <t>タイオウ</t>
    </rPh>
    <phoneticPr fontId="2"/>
  </si>
  <si>
    <t>過去に生活保護を受けていたが、健診実施日時点では生活保護が外れ被用者保険にのみ加入している者の健診文書について、誤って受給者番号を記録した健診文書が登録された場合、健診実施日時点で有効な被保険者番号に振り替える</t>
    <rPh sb="0" eb="2">
      <t>カコ</t>
    </rPh>
    <rPh sb="3" eb="5">
      <t>セイカツ</t>
    </rPh>
    <rPh sb="5" eb="7">
      <t>ホゴ</t>
    </rPh>
    <rPh sb="8" eb="9">
      <t>ウ</t>
    </rPh>
    <rPh sb="15" eb="22">
      <t>ケンシンジッシビジテン</t>
    </rPh>
    <rPh sb="24" eb="28">
      <t>セイカツホゴ</t>
    </rPh>
    <rPh sb="29" eb="30">
      <t>ハズ</t>
    </rPh>
    <rPh sb="39" eb="41">
      <t>カニュウ</t>
    </rPh>
    <rPh sb="45" eb="46">
      <t>モノ</t>
    </rPh>
    <rPh sb="47" eb="49">
      <t>ケンシン</t>
    </rPh>
    <rPh sb="49" eb="51">
      <t>ブンショ</t>
    </rPh>
    <rPh sb="56" eb="57">
      <t>アヤマ</t>
    </rPh>
    <rPh sb="59" eb="64">
      <t>ジュキュウシャバンゴウ</t>
    </rPh>
    <rPh sb="74" eb="76">
      <t>トウロク</t>
    </rPh>
    <rPh sb="79" eb="81">
      <t>バアイ</t>
    </rPh>
    <rPh sb="82" eb="89">
      <t>ケンシンジッシビジテン</t>
    </rPh>
    <rPh sb="90" eb="92">
      <t>ユウコウ</t>
    </rPh>
    <rPh sb="93" eb="99">
      <t>ヒホケンシャバンゴウ</t>
    </rPh>
    <rPh sb="100" eb="101">
      <t>フ</t>
    </rPh>
    <rPh sb="102" eb="103">
      <t>カ</t>
    </rPh>
    <phoneticPr fontId="2"/>
  </si>
  <si>
    <t>■起票背景
過去に生活保護を受けていたが、健診実施日時点では生活保護が外れ被用者保険にのみ加入している者の健診文書について、誤って受給者番号を記録した健診文書が登録された場合、正しい保険者に健診データが渡らないことが判明した。
以下のすべての健診種別が対象。
・特定健康診査（特定健診）
・後期高齢者医療健康診査（後期高齢者健診）
・事業主健診（一般定期健康診断）
・学校保健安全法、及び労働安全衛生法に基づく職員健診
・保険者が実施する特定健診等以外の健診
・保険者以外が行う特定健診等に相当する健診
■目的
間違った保険情報を記録した健診文書が保存されないようにし、ただしい保険者に健診データを連携する。</t>
  </si>
  <si>
    <t>国保中央会：済
支払基金分析評価部：済
保険者：未着手</t>
    <rPh sb="0" eb="2">
      <t>コクホ</t>
    </rPh>
    <rPh sb="2" eb="5">
      <t>チュウオウカイ</t>
    </rPh>
    <rPh sb="6" eb="7">
      <t>スミ</t>
    </rPh>
    <rPh sb="8" eb="10">
      <t>シハライ</t>
    </rPh>
    <rPh sb="10" eb="12">
      <t>キキン</t>
    </rPh>
    <rPh sb="12" eb="14">
      <t>ブンセキ</t>
    </rPh>
    <rPh sb="14" eb="16">
      <t>ヒョウカ</t>
    </rPh>
    <rPh sb="16" eb="17">
      <t>ブ</t>
    </rPh>
    <rPh sb="18" eb="19">
      <t>スミ</t>
    </rPh>
    <rPh sb="20" eb="22">
      <t>ホケン</t>
    </rPh>
    <rPh sb="22" eb="23">
      <t>ジャ</t>
    </rPh>
    <rPh sb="24" eb="25">
      <t>ミ</t>
    </rPh>
    <rPh sb="25" eb="27">
      <t>チャクシュ</t>
    </rPh>
    <phoneticPr fontId="2"/>
  </si>
  <si>
    <t>■要求事項
以下のすべての種別の健診文書登録において、健診実施日時点で「被用者保険にのみ加入している」者の古い「受給者番号」が入力されている場合は、健診実施日時点の有効な「被保険者番号」に振り替えて、健診実施日時点の有効な「被保険者番号」を払い出した保険者に連携する。
・特定健康診査（特定健診）
・後期高齢者医療健康診査（後期高齢者健診）
・事業主健診（一般定期健康診断）
・学校保健安全法、及び労働安全衛生法に基づく職員健診
・保険者が実施する特定健診等以外の健診
・保険者以外が行う特定健診等に相当する健診</t>
    <rPh sb="1" eb="3">
      <t>ヨウキュウ</t>
    </rPh>
    <rPh sb="3" eb="5">
      <t>ジコウ</t>
    </rPh>
    <rPh sb="44" eb="46">
      <t>カニュウ</t>
    </rPh>
    <rPh sb="53" eb="54">
      <t>フル</t>
    </rPh>
    <phoneticPr fontId="2"/>
  </si>
  <si>
    <t>健診実施日時点で有効でない、古い受給者番号を記録しても、記録した保険情報のまま本サービスに保存される。</t>
    <rPh sb="0" eb="7">
      <t>ケンシンジッシビジテン</t>
    </rPh>
    <rPh sb="8" eb="10">
      <t>ユウコウ</t>
    </rPh>
    <rPh sb="14" eb="15">
      <t>フル</t>
    </rPh>
    <rPh sb="22" eb="24">
      <t>キロク</t>
    </rPh>
    <rPh sb="28" eb="30">
      <t>キロク</t>
    </rPh>
    <rPh sb="32" eb="36">
      <t>ホケンジョウホウ</t>
    </rPh>
    <rPh sb="45" eb="47">
      <t>ホゾン</t>
    </rPh>
    <phoneticPr fontId="2"/>
  </si>
  <si>
    <t>以下のすべての種別の健診文書登録において、健診実施日時点で「被用者保険にのみ加入している」者の古い「受給者番号」が入力されている場合は、健診実施日時点の有効な「被保険者番号」に振り替えて、健診実施日時点の有効な「被保険者番号」を払い出した保険者に連携する。
&lt;凡例&gt;
・【プログラムサービスコード：報告区分コード】健診種別　
・【010:10】特定健康診査（特定健診）
・【020:10】後期高齢者医療健康診査（後期高齢者健診）
・【030:41】事業主健診（一般定期健康診断）
・【040:41】学校保健安全法、及び労働安全衛生法に基づく職員健診
・【080:80】保険者が実施する特定健診等以外の健診
・【070:70】保険者以外が行う特定健診等に相当する健診</t>
    <phoneticPr fontId="2"/>
  </si>
  <si>
    <t>110</t>
    <phoneticPr fontId="2"/>
  </si>
  <si>
    <r>
      <rPr>
        <strike/>
        <sz val="11"/>
        <color rgb="FF9BBB59"/>
        <rFont val="Meiryo UI"/>
        <family val="3"/>
        <charset val="128"/>
      </rPr>
      <t>生保単独の人について、</t>
    </r>
    <r>
      <rPr>
        <sz val="11"/>
        <color rgb="FFFF0000"/>
        <rFont val="Meiryo UI"/>
        <family val="3"/>
        <charset val="128"/>
      </rPr>
      <t>保険情報が誤って記録された健診文書の対応（医保(誤)・生保(正)の場合</t>
    </r>
    <r>
      <rPr>
        <sz val="11"/>
        <color rgb="FF9BBB59"/>
        <rFont val="Meiryo UI"/>
        <family val="3"/>
        <charset val="128"/>
      </rPr>
      <t>、生保(誤)・医保(正)の場合</t>
    </r>
    <r>
      <rPr>
        <sz val="11"/>
        <color rgb="FFFF0000"/>
        <rFont val="Meiryo UI"/>
        <family val="3"/>
        <charset val="128"/>
      </rPr>
      <t>）</t>
    </r>
    <phoneticPr fontId="2"/>
  </si>
  <si>
    <r>
      <t>過去に</t>
    </r>
    <r>
      <rPr>
        <strike/>
        <sz val="11"/>
        <color theme="6"/>
        <rFont val="Meiryo UI"/>
        <family val="3"/>
        <charset val="128"/>
      </rPr>
      <t>被用者保険に</t>
    </r>
    <r>
      <rPr>
        <sz val="11"/>
        <color rgb="FFFF0000"/>
        <rFont val="Meiryo UI"/>
        <family val="3"/>
        <charset val="128"/>
      </rPr>
      <t>加入していたが、健診実施日時点では</t>
    </r>
    <r>
      <rPr>
        <sz val="11"/>
        <color theme="6"/>
        <rFont val="Meiryo UI"/>
        <family val="3"/>
        <charset val="128"/>
      </rPr>
      <t>有効でない資格情報</t>
    </r>
    <r>
      <rPr>
        <strike/>
        <sz val="11"/>
        <color rgb="FFFF0000"/>
        <rFont val="Meiryo UI"/>
        <family val="3"/>
        <charset val="128"/>
      </rPr>
      <t>生活保護のみ受給している者の健診文書について、誤って被保険者番号</t>
    </r>
    <r>
      <rPr>
        <sz val="11"/>
        <color rgb="FFFF0000"/>
        <rFont val="Meiryo UI"/>
        <family val="3"/>
        <charset val="128"/>
      </rPr>
      <t xml:space="preserve">を記録した健診文書の登録リクエストがされた場合に、登録エラーとする
</t>
    </r>
    <r>
      <rPr>
        <sz val="11"/>
        <color theme="6"/>
        <rFont val="Meiryo UI"/>
        <family val="3"/>
        <charset val="128"/>
      </rPr>
      <t>（医保(古)・生保(新)の場合、生保(古)・医保(新)の場合）</t>
    </r>
    <rPh sb="0" eb="2">
      <t>カコ</t>
    </rPh>
    <rPh sb="3" eb="8">
      <t>ヒヨウシャホケン</t>
    </rPh>
    <rPh sb="9" eb="11">
      <t>カニュウ</t>
    </rPh>
    <rPh sb="17" eb="24">
      <t>ケンシンジッシビジテン</t>
    </rPh>
    <rPh sb="26" eb="28">
      <t>ユウコウ</t>
    </rPh>
    <rPh sb="31" eb="35">
      <t>シカクジョウホウ</t>
    </rPh>
    <rPh sb="35" eb="39">
      <t>セイカツホゴ</t>
    </rPh>
    <rPh sb="41" eb="43">
      <t>ジュキュウ</t>
    </rPh>
    <rPh sb="47" eb="48">
      <t>モノ</t>
    </rPh>
    <rPh sb="49" eb="51">
      <t>ケンシン</t>
    </rPh>
    <rPh sb="51" eb="53">
      <t>ブンショ</t>
    </rPh>
    <rPh sb="58" eb="59">
      <t>アヤマ</t>
    </rPh>
    <rPh sb="61" eb="67">
      <t>ヒホケンシャバンゴウ</t>
    </rPh>
    <rPh sb="77" eb="79">
      <t>トウロク</t>
    </rPh>
    <rPh sb="88" eb="90">
      <t>バアイ</t>
    </rPh>
    <rPh sb="92" eb="94">
      <t>トウロク</t>
    </rPh>
    <rPh sb="105" eb="106">
      <t>フル</t>
    </rPh>
    <rPh sb="111" eb="112">
      <t>シン</t>
    </rPh>
    <rPh sb="120" eb="121">
      <t>フル</t>
    </rPh>
    <rPh sb="126" eb="127">
      <t>シン</t>
    </rPh>
    <phoneticPr fontId="2"/>
  </si>
  <si>
    <r>
      <rPr>
        <sz val="11"/>
        <color rgb="FFFF0000"/>
        <rFont val="Meiryo UI"/>
        <family val="3"/>
        <charset val="128"/>
      </rPr>
      <t>■起票背景
過去に</t>
    </r>
    <r>
      <rPr>
        <strike/>
        <sz val="11"/>
        <color rgb="FF9BBB59"/>
        <rFont val="Meiryo UI"/>
        <family val="3"/>
        <charset val="128"/>
      </rPr>
      <t>被用者保険</t>
    </r>
    <r>
      <rPr>
        <sz val="11"/>
        <color rgb="FFFF0000"/>
        <rFont val="Meiryo UI"/>
        <family val="3"/>
        <charset val="128"/>
      </rPr>
      <t>に加入していたが、健診実施日時点では</t>
    </r>
    <r>
      <rPr>
        <sz val="11"/>
        <color rgb="FF9BBB59"/>
        <rFont val="Meiryo UI"/>
        <family val="3"/>
        <charset val="128"/>
      </rPr>
      <t>有効でない資格情報</t>
    </r>
    <r>
      <rPr>
        <strike/>
        <sz val="11"/>
        <color rgb="FFFF0000"/>
        <rFont val="Meiryo UI"/>
        <family val="3"/>
        <charset val="128"/>
      </rPr>
      <t>生活保護のみ受給している者の健診文書について、誤って被保険者番号</t>
    </r>
    <r>
      <rPr>
        <sz val="11"/>
        <color rgb="FFFF0000"/>
        <rFont val="Meiryo UI"/>
        <family val="3"/>
        <charset val="128"/>
      </rPr>
      <t>を記録した健診文書の登録リクエストがされた場合でも登録エラーとならない</t>
    </r>
    <r>
      <rPr>
        <strike/>
        <sz val="11"/>
        <color rgb="FF9BBB59"/>
        <rFont val="Meiryo UI"/>
        <family val="3"/>
        <charset val="128"/>
      </rPr>
      <t xml:space="preserve">ため、以下の状態になることが判明した。
</t>
    </r>
    <r>
      <rPr>
        <strike/>
        <sz val="11"/>
        <color rgb="FF8BE1FF"/>
        <rFont val="Meiryo UI"/>
        <family val="3"/>
        <charset val="128"/>
      </rPr>
      <t xml:space="preserve">
</t>
    </r>
    <r>
      <rPr>
        <strike/>
        <sz val="11"/>
        <color rgb="FF9BBB59"/>
        <rFont val="Meiryo UI"/>
        <family val="3"/>
        <charset val="128"/>
      </rPr>
      <t xml:space="preserve">①生活保護で受けられない種別の健診文書であっても登録が可能になっている、かつ、間違った保険情報が記録されている
・特定健康診査（特定健診）
・後期高齢者医療健康診査（後期高齢者健診）
・事業主健診（一般定期健康診断）
・学校保健安全法、及び労働安全衛生法に基づく職員健診
・保険者が実施する特定健診等以外の健診
②間違った保険情報が記録されている
・保険者以外が行う特定健診等に相当する健診
</t>
    </r>
    <r>
      <rPr>
        <sz val="11"/>
        <color rgb="FFFF0000"/>
        <rFont val="Meiryo UI"/>
        <family val="3"/>
        <charset val="128"/>
      </rPr>
      <t xml:space="preserve">
■目的
間違った</t>
    </r>
    <r>
      <rPr>
        <sz val="11"/>
        <color rgb="FF9BBB59"/>
        <rFont val="Meiryo UI"/>
        <family val="3"/>
        <charset val="128"/>
      </rPr>
      <t>古い</t>
    </r>
    <r>
      <rPr>
        <sz val="11"/>
        <color rgb="FFFF0000"/>
        <rFont val="Meiryo UI"/>
        <family val="3"/>
        <charset val="128"/>
      </rPr>
      <t>保険情報を記録した健診文書が登録されないようにする。</t>
    </r>
  </si>
  <si>
    <r>
      <t>間違った</t>
    </r>
    <r>
      <rPr>
        <sz val="11"/>
        <color theme="6"/>
        <rFont val="Meiryo UI"/>
        <family val="3"/>
        <charset val="128"/>
      </rPr>
      <t>古い</t>
    </r>
    <r>
      <rPr>
        <sz val="11"/>
        <color rgb="FFFF0000"/>
        <rFont val="Meiryo UI"/>
        <family val="3"/>
        <charset val="128"/>
      </rPr>
      <t>保険情報を記録した健診文書がオン資に保存されないようにすることで、正確でないデータを減らし、将来的な２次利用において精度の高いデータを活用できるようにする。それにより、国民の健康増進に資する。</t>
    </r>
    <rPh sb="0" eb="2">
      <t>マチガ</t>
    </rPh>
    <rPh sb="4" eb="5">
      <t>フル</t>
    </rPh>
    <rPh sb="22" eb="23">
      <t>シ</t>
    </rPh>
    <rPh sb="39" eb="41">
      <t>セイカク</t>
    </rPh>
    <rPh sb="48" eb="49">
      <t>ヘ</t>
    </rPh>
    <rPh sb="73" eb="75">
      <t>カツヨウ</t>
    </rPh>
    <rPh sb="90" eb="92">
      <t>コクミン</t>
    </rPh>
    <rPh sb="93" eb="97">
      <t>ケンコウゾウシン</t>
    </rPh>
    <rPh sb="98" eb="99">
      <t>シ</t>
    </rPh>
    <phoneticPr fontId="2"/>
  </si>
  <si>
    <r>
      <rPr>
        <sz val="11"/>
        <color rgb="FF000000"/>
        <rFont val="ＭＳ Ｐゴシック"/>
        <family val="2"/>
        <scheme val="minor"/>
      </rPr>
      <t xml:space="preserve">■要求事項
以下（①-⑥）の健診種別の健診文書について、AまたはBの場合はエラーとする。
A）健診文書に登録されている資格情報が「被保険者番号等（医保）」、且つ、健診実施日に有効な資格情報が「受給者番号（生保）」
B）健診文書に登録されている資格情報が「受給者番号（生保）」、且つ、健診実施日に有効な資格情報が「被保険者番号等（医保）」
①特定健康診査（特定健診）
②後期高齢者医療健康診査（後期高齢者健診）
③事業主健診（一般定期健康診断）
④学校保健安全法、及び労働安全衛生法に基づく職員健診
⑤保険者が実施する特定健診等以外の健診
⑥保険者以外が行う特定健診等に相当する健診
----------------------------------
(参考_以前の記載 赤字部分)
</t>
    </r>
    <r>
      <rPr>
        <strike/>
        <sz val="10"/>
        <color rgb="FFFF0000"/>
        <rFont val="Meiryo UI"/>
        <family val="3"/>
        <charset val="128"/>
      </rPr>
      <t>■要求事項
以下のすべての健診種別の健診文書について、健診実施日時点で</t>
    </r>
    <r>
      <rPr>
        <strike/>
        <sz val="10"/>
        <color rgb="FF9BBB59"/>
        <rFont val="Meiryo UI"/>
        <family val="3"/>
        <charset val="128"/>
      </rPr>
      <t>「被用者保険に加入していない生活保護受給者」の有効でない</t>
    </r>
    <r>
      <rPr>
        <strike/>
        <sz val="10"/>
        <color rgb="FFFF0000"/>
        <rFont val="Meiryo UI"/>
        <family val="3"/>
        <charset val="128"/>
      </rPr>
      <t>古い「被保険者番号」</t>
    </r>
    <r>
      <rPr>
        <strike/>
        <sz val="10"/>
        <color rgb="FF9BBB59"/>
        <rFont val="Meiryo UI"/>
        <family val="3"/>
        <charset val="128"/>
      </rPr>
      <t>あるいは「受給者番号」</t>
    </r>
    <r>
      <rPr>
        <strike/>
        <sz val="10"/>
        <color rgb="FFFF0000"/>
        <rFont val="Meiryo UI"/>
        <family val="3"/>
        <charset val="128"/>
      </rPr>
      <t xml:space="preserve">が入力されている場合は、登録エラーとする。
</t>
    </r>
    <r>
      <rPr>
        <strike/>
        <sz val="10"/>
        <color rgb="FF9BBB59"/>
        <rFont val="Meiryo UI"/>
        <family val="3"/>
        <charset val="128"/>
      </rPr>
      <t xml:space="preserve">①生活保護で受けられない種別の健診文書である、かつ、間違った保険情報が記録されているため登録エラー
</t>
    </r>
    <r>
      <rPr>
        <strike/>
        <sz val="10"/>
        <color rgb="FFFF0000"/>
        <rFont val="Meiryo UI"/>
        <family val="3"/>
        <charset val="128"/>
      </rPr>
      <t xml:space="preserve">・特定健康診査（特定健診）
・後期高齢者医療健康診査（後期高齢者健診）
・事業主健診（一般定期健康診断）
・学校保健安全法、及び労働安全衛生法に基づく職員健診
・保険者が実施する特定健診等以外の健診
</t>
    </r>
    <r>
      <rPr>
        <strike/>
        <sz val="10"/>
        <color rgb="FF8BE1FF"/>
        <rFont val="Meiryo UI"/>
        <family val="3"/>
        <charset val="128"/>
      </rPr>
      <t xml:space="preserve">
</t>
    </r>
    <r>
      <rPr>
        <strike/>
        <sz val="10"/>
        <color rgb="FF9BBB59"/>
        <rFont val="Meiryo UI"/>
        <family val="3"/>
        <charset val="128"/>
      </rPr>
      <t xml:space="preserve">②間違った保険情報が記録されているため登録エラー
</t>
    </r>
    <r>
      <rPr>
        <strike/>
        <sz val="10"/>
        <color rgb="FFFF0000"/>
        <rFont val="Meiryo UI"/>
        <family val="3"/>
        <charset val="128"/>
      </rPr>
      <t xml:space="preserve">・保険者以外が行う特定健診等に相当する健診
</t>
    </r>
    <r>
      <rPr>
        <sz val="10"/>
        <color rgb="FFFF0000"/>
        <rFont val="Meiryo UI"/>
        <family val="3"/>
        <charset val="128"/>
      </rPr>
      <t xml:space="preserve">
</t>
    </r>
    <r>
      <rPr>
        <strike/>
        <sz val="10"/>
        <color rgb="FF9BBB59"/>
        <rFont val="Meiryo UI"/>
        <family val="3"/>
        <charset val="128"/>
      </rPr>
      <t>■備考
上記②の健診種別のみについては、健診実施日時点で「被用者保険に加入していない生活保護受給者」の古い「被保険者番号」が入力されている場合に、健診実施日時点の有効な「受給者番号」に振り替えてオン資に保存するという選択肢もあったが、振り替えた後のデータ連携先がない（福祉事務所が連携先候補であるが本サービスでは未対応）ことから、振り替える対応はしない。誤った保険情報のデータを訂正させるために登録エラーとする。</t>
    </r>
  </si>
  <si>
    <r>
      <rPr>
        <strike/>
        <sz val="11"/>
        <color rgb="FF9BBB59"/>
        <rFont val="Meiryo UI"/>
        <family val="3"/>
        <charset val="128"/>
      </rPr>
      <t>健診実施日時点で「被用者保険に加入していない生活保護受給者」について、</t>
    </r>
    <r>
      <rPr>
        <sz val="11"/>
        <color rgb="FFFF0000"/>
        <rFont val="Meiryo UI"/>
        <family val="3"/>
        <charset val="128"/>
      </rPr>
      <t>健診実施日時点で有効でない、古い被保険者番号</t>
    </r>
    <r>
      <rPr>
        <sz val="11"/>
        <color rgb="FF9BBB59"/>
        <rFont val="Meiryo UI"/>
        <family val="3"/>
        <charset val="128"/>
      </rPr>
      <t>あるいは受給者番号</t>
    </r>
    <r>
      <rPr>
        <sz val="11"/>
        <color rgb="FFFF0000"/>
        <rFont val="Meiryo UI"/>
        <family val="3"/>
        <charset val="128"/>
      </rPr>
      <t>を記録しても、記録した保険情報のまま本サービスに保存される。</t>
    </r>
  </si>
  <si>
    <r>
      <rPr>
        <sz val="11"/>
        <color rgb="FF000000"/>
        <rFont val="ＭＳ Ｐゴシック"/>
        <family val="2"/>
        <scheme val="minor"/>
      </rPr>
      <t xml:space="preserve">■要求事項
以下（①-⑥）の健診種別の健診文書について、AまたはBの場合はエラーとする。
A）健診文書に登録されている資格情報が「被保険者番号等（医保）」、且つ、健診実施日に有効な資格情報が「受給者番号（生保）」
B）健診文書に登録されている資格情報が「受給者番号（生保）」、且つ、健診実施日に有効な資格情報が「被保険者番号等（医保）」
①特定健康診査（特定健診）
②後期高齢者医療健康診査（後期高齢者健診）
③事業主健診（一般定期健康診断）
④学校保健安全法、及び労働安全衛生法に基づく職員健診
⑤保険者が実施する特定健診等以外の健診
⑥保険者以外が行う特定健診等に相当する健診
----------------------------------
(参考_以前の記載(赤字部分))
</t>
    </r>
    <r>
      <rPr>
        <strike/>
        <sz val="10"/>
        <color rgb="FFFF0000"/>
        <rFont val="Meiryo UI"/>
        <family val="3"/>
        <charset val="128"/>
      </rPr>
      <t xml:space="preserve">
以下の健診種別の健診文書について、健診実施日時点で</t>
    </r>
    <r>
      <rPr>
        <strike/>
        <sz val="10"/>
        <color rgb="FF9BBB59"/>
        <rFont val="Meiryo UI"/>
        <family val="3"/>
        <charset val="128"/>
      </rPr>
      <t>「被用者保険に加入していない生活保護受給者」の有効でない</t>
    </r>
    <r>
      <rPr>
        <strike/>
        <sz val="10"/>
        <color rgb="FFFF0000"/>
        <rFont val="Meiryo UI"/>
        <family val="3"/>
        <charset val="128"/>
      </rPr>
      <t xml:space="preserve">古い「被保険者番号」が入力されている場合は、登録エラーとする。
&lt;凡例&gt;
・【プログラムサービスコード：報告区分コード】健診種別　
</t>
    </r>
    <r>
      <rPr>
        <strike/>
        <sz val="10"/>
        <color rgb="FF9BBB59"/>
        <rFont val="Meiryo UI"/>
        <family val="3"/>
        <charset val="128"/>
      </rPr>
      <t xml:space="preserve">①生活保護で受けられない種別の健診文書である、かつ、間違った保険情報が記録されているため登録エラー
</t>
    </r>
    <r>
      <rPr>
        <strike/>
        <sz val="10"/>
        <color rgb="FFFF0000"/>
        <rFont val="Meiryo UI"/>
        <family val="3"/>
        <charset val="128"/>
      </rPr>
      <t xml:space="preserve">・【010:10】特定健康診査（特定健診）
・【020:10】後期高齢者医療健康診査（後期高齢者健診）
・【030:41】事業主健診（一般定期健康診断）
・【040:41】学校保健安全法、及び労働安全衛生法に基づく職員健診
・【080:80】保険者が実施する特定健診等以外の健診　
</t>
    </r>
    <r>
      <rPr>
        <strike/>
        <sz val="10"/>
        <color rgb="FF9BBB59"/>
        <rFont val="Meiryo UI"/>
        <family val="3"/>
        <charset val="128"/>
      </rPr>
      <t xml:space="preserve">②間違った保険情報が記録されているため登録エラー
</t>
    </r>
    <r>
      <rPr>
        <strike/>
        <sz val="10"/>
        <color rgb="FFFF0000"/>
        <rFont val="Meiryo UI"/>
        <family val="3"/>
        <charset val="128"/>
      </rPr>
      <t xml:space="preserve">・【070:70】保険者以外が行う特定健診等に相当する健診
</t>
    </r>
    <r>
      <rPr>
        <strike/>
        <sz val="10"/>
        <color rgb="FF9BBB59"/>
        <rFont val="Meiryo UI"/>
        <family val="3"/>
        <charset val="128"/>
      </rPr>
      <t>■備考
上記②の健診種別のみについては、健診実施日時点で「被用者保険に加入していない生活保護受給者」の古い「被保険者番号」が入力されている場合に、健診実施日時点の有効な「受給者番号」に振り替えてオン資に保存するという選択肢もあったが、振り替えた後のデータ連携先がない（福祉事務所が連携先候補であるが本サービスでは未対応）ことから、振り替える対応はしない。誤った保険情報のデータを訂正させるために登録エラーとする。</t>
    </r>
    <phoneticPr fontId="2"/>
  </si>
  <si>
    <t>111</t>
    <phoneticPr fontId="2"/>
  </si>
  <si>
    <t>111-1</t>
    <phoneticPr fontId="2"/>
  </si>
  <si>
    <t>マイナポータルの「やること」一覧画面における紹介状の情報（閲覧保留、同意済み）の表示</t>
    <phoneticPr fontId="2"/>
  </si>
  <si>
    <t>本田</t>
    <rPh sb="0" eb="2">
      <t>ホンダ</t>
    </rPh>
    <phoneticPr fontId="2"/>
  </si>
  <si>
    <t>マイナポータルの「やること」一覧画面に、紹介状の情報（閲覧保留、同意済み）を表示</t>
    <phoneticPr fontId="2"/>
  </si>
  <si>
    <t>■起票背景
閲覧保留文書への同意についてPUSH通知のみでは、通知が埋もれてしまうことを懸念し、マイナポータルの「やること」一覧画面に、同意されていない閲覧保留文書があること、同意済みの紹介状があることを表示する仕組みをデジタル庁で検討している。
現状の仕組みの中で実現するためには、ユーザーがマイナポータルで「やること」一覧画面にアクセスするたびに、マイナポータルからオンライン資格確認等システムに当該ユーザーについての紹介状の情報を確認するリクエストをかける必要があり、リクエスト数が膨大になることを懸念している。
マイナポータルからオンライン資格確認等システムへのリクエスト数を減らすために、紹介状が登録されているユーザーのリストを定期的にオンライン資格確認等システムで出力し、マイナポータルで取り込む案を検討している。
■目的
マイナポータルの「やること」一覧画面に、同意されていない閲覧保留文書があることを表示し、患者の同意操作忘れを防ぐ。また、当該仕組みの実装において、マイナポータルからオンライン資格確認等システムへのリクエスト数を減らす。</t>
    <rPh sb="1" eb="3">
      <t>キヒョウ</t>
    </rPh>
    <rPh sb="3" eb="5">
      <t>ハイケイ</t>
    </rPh>
    <rPh sb="6" eb="12">
      <t>エツランホリュウブンショ</t>
    </rPh>
    <rPh sb="14" eb="16">
      <t>ドウイ</t>
    </rPh>
    <rPh sb="31" eb="33">
      <t>ツウチ</t>
    </rPh>
    <rPh sb="34" eb="35">
      <t>ウ</t>
    </rPh>
    <rPh sb="44" eb="46">
      <t>ケネン</t>
    </rPh>
    <rPh sb="88" eb="91">
      <t>ドウイスミ</t>
    </rPh>
    <rPh sb="93" eb="96">
      <t>ショウカイジョウ</t>
    </rPh>
    <rPh sb="106" eb="108">
      <t>シク</t>
    </rPh>
    <rPh sb="114" eb="115">
      <t>チョウ</t>
    </rPh>
    <rPh sb="116" eb="118">
      <t>ケントウ</t>
    </rPh>
    <rPh sb="127" eb="129">
      <t>シク</t>
    </rPh>
    <rPh sb="131" eb="132">
      <t>ナカ</t>
    </rPh>
    <rPh sb="133" eb="135">
      <t>ジツゲン</t>
    </rPh>
    <rPh sb="161" eb="165">
      <t>イチランガメン</t>
    </rPh>
    <rPh sb="200" eb="202">
      <t>トウガイ</t>
    </rPh>
    <rPh sb="211" eb="214">
      <t>ショウカイジョウ</t>
    </rPh>
    <rPh sb="215" eb="217">
      <t>ジョウホウ</t>
    </rPh>
    <rPh sb="218" eb="220">
      <t>カクニン</t>
    </rPh>
    <rPh sb="242" eb="243">
      <t>スウ</t>
    </rPh>
    <rPh sb="244" eb="246">
      <t>ボウダイ</t>
    </rPh>
    <rPh sb="252" eb="254">
      <t>ケネン</t>
    </rPh>
    <rPh sb="299" eb="302">
      <t>ショウカイジョウ</t>
    </rPh>
    <rPh sb="303" eb="305">
      <t>トウロク</t>
    </rPh>
    <rPh sb="319" eb="322">
      <t>テイキテキ</t>
    </rPh>
    <rPh sb="366" eb="368">
      <t>モクテキ</t>
    </rPh>
    <rPh sb="413" eb="415">
      <t>カンジャ</t>
    </rPh>
    <rPh sb="416" eb="420">
      <t>ドウイソウサ</t>
    </rPh>
    <rPh sb="420" eb="421">
      <t>ワス</t>
    </rPh>
    <rPh sb="423" eb="424">
      <t>フセ</t>
    </rPh>
    <rPh sb="429" eb="431">
      <t>トウガイ</t>
    </rPh>
    <rPh sb="431" eb="433">
      <t>シク</t>
    </rPh>
    <rPh sb="435" eb="437">
      <t>ジッソウ</t>
    </rPh>
    <rPh sb="456" eb="458">
      <t>シカク</t>
    </rPh>
    <rPh sb="458" eb="460">
      <t>カクニン</t>
    </rPh>
    <rPh sb="460" eb="461">
      <t>トウ</t>
    </rPh>
    <rPh sb="472" eb="473">
      <t>スウ</t>
    </rPh>
    <rPh sb="474" eb="475">
      <t>ヘ</t>
    </rPh>
    <phoneticPr fontId="2"/>
  </si>
  <si>
    <t>マイナポータルの「やること」一覧画面に、同意されていない閲覧保留文書があることを表示し、患者の同意操作忘れを防ぐ。</t>
    <phoneticPr fontId="2"/>
  </si>
  <si>
    <t>マイナポータル：調整中(マイナポータル側からの提案)</t>
    <rPh sb="8" eb="11">
      <t>チョウセイチュウ</t>
    </rPh>
    <rPh sb="19" eb="20">
      <t>ガワ</t>
    </rPh>
    <rPh sb="23" eb="25">
      <t>テイアン</t>
    </rPh>
    <phoneticPr fontId="2"/>
  </si>
  <si>
    <t>マイナポータル側の実装に係るため、急ぎ見積もりいただけますと幸いです。</t>
    <rPh sb="7" eb="8">
      <t>ガワ</t>
    </rPh>
    <rPh sb="9" eb="11">
      <t>ジッソウ</t>
    </rPh>
    <rPh sb="12" eb="13">
      <t>カカワ</t>
    </rPh>
    <rPh sb="17" eb="18">
      <t>イソ</t>
    </rPh>
    <rPh sb="30" eb="31">
      <t>サイワ</t>
    </rPh>
    <phoneticPr fontId="2"/>
  </si>
  <si>
    <t>マイナポータルの「やること」画面での紹介状の情報（閲覧保留、同意済み）の表示</t>
    <rPh sb="0" eb="6">
      <t>エツランホリュウブンショ</t>
    </rPh>
    <rPh sb="14" eb="16">
      <t>ガメン</t>
    </rPh>
    <rPh sb="18" eb="21">
      <t>ショウカイジョウ</t>
    </rPh>
    <rPh sb="22" eb="24">
      <t>ジョウホウ</t>
    </rPh>
    <rPh sb="25" eb="29">
      <t>エツランホリュウ</t>
    </rPh>
    <rPh sb="30" eb="33">
      <t>ドウイスミ</t>
    </rPh>
    <rPh sb="36" eb="38">
      <t>ヒョウジ</t>
    </rPh>
    <phoneticPr fontId="2"/>
  </si>
  <si>
    <r>
      <rPr>
        <sz val="10"/>
        <color rgb="FFFF0000"/>
        <rFont val="Meiryo UI"/>
        <family val="3"/>
        <charset val="128"/>
      </rPr>
      <t>■要求事項①
電子カルテ情報共有サービスにて、紹介状が登録されている患者の一覧をオンライン資格確認システムに連携する。
■要求事項②
オンライン資格確認等システムにて、 紹介状が登録されている患者の一覧をファイル出力し、マイナポータルのS3に格納する。
■要求事項③
・マイナポータルのバッチ処理にて、S3に格納された「紹介状対象者一覧（仮）」ファイルを取り込み「紹介状やることTBL（仮）」にデータを登録する。
・マイナポータルの「やること」画面表示時に、「紹介状やることTBL（仮）」を参照し、データの存在を確認し、「やること」や「完了」の箇所に紹介状の情報を表示する。
■要求事項④（要求事項③のマイナポータルの「やること」画面表示時に、「紹介状やることTBL（仮）」のデータが古い可能性を踏まえた処理）
・マイナポータルの「やること」画面表示時に、「紹介状やることTBL（仮）」にデータが存在する場合は、オ</t>
    </r>
    <r>
      <rPr>
        <u/>
        <sz val="10"/>
        <color rgb="FFFF0000"/>
        <rFont val="Meiryo UI"/>
        <family val="3"/>
        <charset val="128"/>
      </rPr>
      <t>ンライン資格確認等システムと通信を行い当該ユーザーについて電子カルテ情報共有サービスに登録されている紹介状の最新の情報を取得（※１）</t>
    </r>
    <r>
      <rPr>
        <sz val="10"/>
        <color rgb="FFFF0000"/>
        <rFont val="Meiryo UI"/>
        <family val="3"/>
        <charset val="128"/>
      </rPr>
      <t>し、 「紹介状やることTBL（仮）」を更新し、「やること」画面を表示する。
※１：既存のIF（マイナポータルの紹介状の送信画面表示時のIF）を利用する想定
■備考
要求事項③は、マイナポータル側の機能改修のみの内容であるため、AC列より右の機能要件の記載は割愛する。
要求事項④は、※１にある通り既存のIF（マイナポータルの紹介状の送信画面表示時のIF）を利用できるか、あるいは、オン資側で新たな改修が必要かの確認が必要。</t>
    </r>
    <phoneticPr fontId="2"/>
  </si>
  <si>
    <t>PUSH通知だけでは、閲覧保留文書の同意についての通知が埋もれ、閲覧保留文書への同意操作忘れが起こる可能性がある</t>
    <rPh sb="4" eb="6">
      <t>ツウチ</t>
    </rPh>
    <rPh sb="11" eb="17">
      <t>エツランホリュウブンショ</t>
    </rPh>
    <rPh sb="18" eb="20">
      <t>ドウイ</t>
    </rPh>
    <rPh sb="25" eb="27">
      <t>ツウチ</t>
    </rPh>
    <rPh sb="28" eb="29">
      <t>ウ</t>
    </rPh>
    <rPh sb="32" eb="38">
      <t>エツランホリュウブンショ</t>
    </rPh>
    <rPh sb="40" eb="42">
      <t>ドウイ</t>
    </rPh>
    <rPh sb="42" eb="45">
      <t>ソウサワス</t>
    </rPh>
    <rPh sb="47" eb="48">
      <t>オ</t>
    </rPh>
    <rPh sb="50" eb="53">
      <t>カノウセイ</t>
    </rPh>
    <phoneticPr fontId="2"/>
  </si>
  <si>
    <t>マイナポータル連携用の文書情報リスト出力機能</t>
    <rPh sb="7" eb="9">
      <t>レンケイ</t>
    </rPh>
    <rPh sb="9" eb="10">
      <t>ヨウ</t>
    </rPh>
    <rPh sb="11" eb="13">
      <t>ブンショ</t>
    </rPh>
    <rPh sb="13" eb="15">
      <t>ジョウホウ</t>
    </rPh>
    <rPh sb="18" eb="22">
      <t>シュツリョクキノウ</t>
    </rPh>
    <phoneticPr fontId="2"/>
  </si>
  <si>
    <t>電子カルテ情報共有サービスに登録されている紹介状（閲覧保留、同意済み）について、患者および文書ステータスの一覧をファイル出力し、オン資に連携する。</t>
    <rPh sb="0" eb="2">
      <t>デンシ</t>
    </rPh>
    <rPh sb="5" eb="9">
      <t>ジョウホウキョウユウ</t>
    </rPh>
    <rPh sb="14" eb="16">
      <t>トウロク</t>
    </rPh>
    <rPh sb="25" eb="29">
      <t>エツランホリュウ</t>
    </rPh>
    <rPh sb="30" eb="33">
      <t>ドウイスミ</t>
    </rPh>
    <rPh sb="40" eb="42">
      <t>カンジャ</t>
    </rPh>
    <rPh sb="45" eb="47">
      <t>ブンショ</t>
    </rPh>
    <rPh sb="66" eb="67">
      <t>シ</t>
    </rPh>
    <rPh sb="68" eb="70">
      <t>レンケイ</t>
    </rPh>
    <phoneticPr fontId="2"/>
  </si>
  <si>
    <t>111-2</t>
    <phoneticPr fontId="2"/>
  </si>
  <si>
    <t>マイナポータルの「やること」一覧画面における紹介状の情報（閲覧保留、同意済み）の表示</t>
  </si>
  <si>
    <t>■起票背景
閲覧保留文書への同意についてPUSH通知のみでは、通知が埋もれてしまうことを懸念し、マイナポータルの「やること」一覧画面に、同意されていない閲覧保留文書があること、同意済みの紹介状があることを表示する仕組みをデジタル庁で検討している。
現状の仕組みの中で実現するためには、ユーザーがマイナポータルで「やること」一覧画面にアクセスするたびに、マイナポータルからオンライン資格確認等システムに当該ユーザーについての紹介状の情報を確認するリクエストをかける必要があり、リクエスト数が膨大になることを懸念している。
マイナポータルからオンライン資格確認等システムへのリクエスト数を減らすために、紹介状が登録されているユーザーのリストを定期的にオンライン資格確認等システムで出力し、マイナポータルで取り込む案を検討している。
■目的
マイナポータルの「やること」一覧画面に、同意されていない閲覧保留文書があることを表示し、患者の同意操作忘れを防ぐ。また、当該仕組みの実装において、マイナポータルからオンライン資格確認等システムへのリクエスト数を減らす。</t>
    <phoneticPr fontId="2"/>
  </si>
  <si>
    <t>マイナポータル：調整中(マイナポータル側からの提案)</t>
    <phoneticPr fontId="2"/>
  </si>
  <si>
    <t>マイナポータル側の実装に係るため、急ぎ見積もりいただけますと幸いです。</t>
    <phoneticPr fontId="2"/>
  </si>
  <si>
    <t>マイナポータルの「やること」画面での紹介状の情報（閲覧保留、同意済み）の表示</t>
    <rPh sb="14" eb="16">
      <t>ガメン</t>
    </rPh>
    <rPh sb="18" eb="21">
      <t>ショウカイジョウ</t>
    </rPh>
    <rPh sb="22" eb="24">
      <t>ジョウホウ</t>
    </rPh>
    <rPh sb="25" eb="27">
      <t>エツラン</t>
    </rPh>
    <rPh sb="27" eb="29">
      <t>ホリュウ</t>
    </rPh>
    <rPh sb="30" eb="32">
      <t>ドウイ</t>
    </rPh>
    <rPh sb="32" eb="33">
      <t>ズ</t>
    </rPh>
    <rPh sb="36" eb="38">
      <t>ヒョウジ</t>
    </rPh>
    <phoneticPr fontId="2"/>
  </si>
  <si>
    <r>
      <t>■要求事項①
電子カルテ情報共有サービスにて、紹介状が登録されている患者の一覧をオンライン資格確認システムに連携する。
■要求事項②
オンライン資格確認等システムにて、 紹介状が登録されている患者の一覧をファイル出力し、マイナポータルのS3に格納する。
■要求事項③
・マイナポータルのバッチ処理にて、S3に格納された「紹介状対象者一覧（仮）」ファイルを取り込み「紹介状やることTBL（仮）」にデータを登録する。
・マイナポータルの「やること」画面表示時に、「紹介状やることTBL（仮）」を参照し、データの存在を確認し、「やること」や「完了」の箇所に紹介状の情報を表示する。
■要求事項④（要求事項③のマイナポータルの「やること」画面表示時に、「紹介状やることTBL（仮）」のデータが古い可能性を踏まえた処理）
・マイナポータルの「やること」画面表示時に、「紹介状やることTBL（仮）」にデータが存在する場合は、</t>
    </r>
    <r>
      <rPr>
        <u/>
        <sz val="10"/>
        <color theme="0" tint="-0.249977111117893"/>
        <rFont val="Meiryo UI"/>
        <family val="3"/>
        <charset val="128"/>
      </rPr>
      <t>オンライン資格確認等システムと通信を行い当該ユーザーについて電子カルテ情報共有サービスに登録されている紹介状の最新の情報を取得（※１）</t>
    </r>
    <r>
      <rPr>
        <sz val="10"/>
        <color theme="0" tint="-0.249977111117893"/>
        <rFont val="Meiryo UI"/>
        <family val="3"/>
        <charset val="128"/>
      </rPr>
      <t>し、 「紹介状やることTBL（仮）」を更新し、「やること」画面を表示する。
※１：既存のIF（マイナポータルの紹介状の送信画面表示時のIF）を利用する想定
■備考
要求事項③は、マイナポータル側の機能改修のみの内容であるため、AC列より右の機能要件の記載は割愛する。
要求事項④は、※１にある通り既存のIF（マイナポータルの紹介状の送信画面表示時のIF）を利用できるか、あるいは、オン資側で新たな改修が必要かの確認が必要。</t>
    </r>
    <phoneticPr fontId="2"/>
  </si>
  <si>
    <t>PUSH通知だけでは、閲覧保留文書の同意についての通知が埋もれ、閲覧保留文書への同意操作忘れが起こる可能性がある</t>
    <phoneticPr fontId="2"/>
  </si>
  <si>
    <t>電子カルテ情報共有サービスから連携された、登録されている紹介状（閲覧保留、同意済み）についての患者および文書ステータスの一覧ファイルを、マイナポータルへ連携する。
■備考
マイナポータルの機能改修、オン資は既存機能の認識であるが、オン資の改修に跳ねないかご確認いただきたい</t>
    <rPh sb="15" eb="17">
      <t>レンケイ</t>
    </rPh>
    <rPh sb="47" eb="49">
      <t>カンジャ</t>
    </rPh>
    <rPh sb="76" eb="78">
      <t>レンケイ</t>
    </rPh>
    <rPh sb="118" eb="119">
      <t>シ</t>
    </rPh>
    <phoneticPr fontId="2"/>
  </si>
  <si>
    <t>111-3</t>
    <phoneticPr fontId="2"/>
  </si>
  <si>
    <t>※本行111-3は、既存のIFで対応可能かオン資・マイナポ間で確認する必要がある。
（左記業務要件における要求事項③のマイナポータルの「やること」画面表示時に、「紹介状やることTBL（仮）」のデータが古い可能性を踏まえた処理）
マイナポからのリクエストにより、当該ユーザーについて電子カルテ情報共有サービスに登録されている紹介状（閲覧保留、同意済み）の最新のステータス情報をマイナポに連携する。</t>
    <rPh sb="1" eb="3">
      <t>ホンギョウ</t>
    </rPh>
    <rPh sb="10" eb="12">
      <t>キゾン</t>
    </rPh>
    <rPh sb="16" eb="20">
      <t>タイオウカノウ</t>
    </rPh>
    <rPh sb="23" eb="24">
      <t>シ</t>
    </rPh>
    <rPh sb="29" eb="30">
      <t>カン</t>
    </rPh>
    <rPh sb="31" eb="33">
      <t>カクニン</t>
    </rPh>
    <rPh sb="35" eb="37">
      <t>ヒツヨウ</t>
    </rPh>
    <rPh sb="44" eb="46">
      <t>サキ</t>
    </rPh>
    <rPh sb="46" eb="50">
      <t>ギョウムヨウケン</t>
    </rPh>
    <rPh sb="166" eb="170">
      <t>エツランホリュウ</t>
    </rPh>
    <rPh sb="171" eb="174">
      <t>ドウイスミ</t>
    </rPh>
    <rPh sb="193" eb="195">
      <t>レンケイ</t>
    </rPh>
    <phoneticPr fontId="2"/>
  </si>
  <si>
    <t>113</t>
    <phoneticPr fontId="2"/>
  </si>
  <si>
    <t>113_01</t>
    <phoneticPr fontId="2"/>
  </si>
  <si>
    <t>マイナ在宅Web、マイナ資格確認アプリへの閲覧保留文書への同意画面追加</t>
    <rPh sb="21" eb="25">
      <t>エツランホリュウ</t>
    </rPh>
    <rPh sb="25" eb="27">
      <t>ブンショ</t>
    </rPh>
    <rPh sb="29" eb="31">
      <t>ドウイ</t>
    </rPh>
    <rPh sb="31" eb="35">
      <t>ガメンツイカ</t>
    </rPh>
    <phoneticPr fontId="3"/>
  </si>
  <si>
    <t>マイナ在宅受付Web、マイナ資格確認アプリを使った、訪問診療、オンライン診療に関する閲覧保留文書への同意登録機能を追加改修する</t>
    <rPh sb="5" eb="7">
      <t>ウケツケ</t>
    </rPh>
    <rPh sb="42" eb="46">
      <t>エツランホリュウ</t>
    </rPh>
    <rPh sb="46" eb="48">
      <t>ブンショ</t>
    </rPh>
    <phoneticPr fontId="2"/>
  </si>
  <si>
    <t>■起票背景
現行のマイナ在宅Web、マイナ資格確認アプリは、電子カルテ情報共有サービスに登録された閲覧保留文書への同意ができない。マイナ在宅Web、マイナ資格確認アプリは、顔認証付きカードリーダーが故障した際にも使うケースがあるため、閲覧保留文書への同意機能が必要であるため起票。
■目的
マイナ在宅Web、マイナ資格確認アプリは、顔認証付きカードリーダーが故障した際にも使うケースがあるため、閲覧保留文書への同意機能ができるようにする。</t>
    <rPh sb="44" eb="46">
      <t>トウロク</t>
    </rPh>
    <rPh sb="57" eb="59">
      <t>ドウイ</t>
    </rPh>
    <rPh sb="86" eb="90">
      <t>カオニンショウツ</t>
    </rPh>
    <rPh sb="99" eb="101">
      <t>コショウ</t>
    </rPh>
    <rPh sb="103" eb="104">
      <t>サイ</t>
    </rPh>
    <rPh sb="106" eb="107">
      <t>ツカ</t>
    </rPh>
    <rPh sb="127" eb="129">
      <t>キノウ</t>
    </rPh>
    <rPh sb="130" eb="132">
      <t>ヒツヨウ</t>
    </rPh>
    <rPh sb="137" eb="139">
      <t>キヒョウ</t>
    </rPh>
    <rPh sb="208" eb="210">
      <t>キノウ</t>
    </rPh>
    <phoneticPr fontId="2"/>
  </si>
  <si>
    <t>顔認証付きカードリーダーが故障した際に使うケースをメインとして、マイナ在宅Web、マイナ資格確認アプリで閲覧保留文書への同意機能ができるようにする。</t>
    <phoneticPr fontId="2"/>
  </si>
  <si>
    <t>保険局：完了（やる方向で合意）</t>
    <rPh sb="0" eb="3">
      <t>ホケンキョク</t>
    </rPh>
    <rPh sb="4" eb="6">
      <t>カンリョウ</t>
    </rPh>
    <rPh sb="9" eb="11">
      <t>ホウコウ</t>
    </rPh>
    <rPh sb="12" eb="14">
      <t>ゴウイ</t>
    </rPh>
    <phoneticPr fontId="2"/>
  </si>
  <si>
    <t>閲覧保留文書の閲覧同意</t>
    <rPh sb="0" eb="6">
      <t>エツランホリュウブンショ</t>
    </rPh>
    <rPh sb="7" eb="9">
      <t>エツラン</t>
    </rPh>
    <rPh sb="9" eb="11">
      <t>ドウイ</t>
    </rPh>
    <phoneticPr fontId="3"/>
  </si>
  <si>
    <t>■１：マイナ在宅受付Web
・機能：閲覧保留文書の閲覧同意機能
・内容：電子カルテ情報共有サービスを利用している医療機関には、現行の顔CRやマイナポータル同様に、当該医療情報が電子カルテ情報共有サービス導入済みの場合は、閲覧保留文書について、文書ごとで同意できる同意操作画面（新規追加）を表示する。その上で同意情報をオンライン資格確認システムに送信する。
■備考
・対象は、医療機関・薬局を対象に実装想定（訪看ステーションは現時点では対象外）
・保険局とは調整済で、やる方向で合意している</t>
    <rPh sb="8" eb="10">
      <t>ウケツケ</t>
    </rPh>
    <rPh sb="180" eb="182">
      <t>ビコウ</t>
    </rPh>
    <rPh sb="184" eb="186">
      <t>タイショウ</t>
    </rPh>
    <rPh sb="188" eb="192">
      <t>イリョウキカン</t>
    </rPh>
    <rPh sb="193" eb="195">
      <t>ヤッキョク</t>
    </rPh>
    <rPh sb="196" eb="198">
      <t>タイショウ</t>
    </rPh>
    <rPh sb="199" eb="201">
      <t>ジッソウ</t>
    </rPh>
    <rPh sb="201" eb="203">
      <t>ソウテイ</t>
    </rPh>
    <rPh sb="204" eb="206">
      <t>ホウカン</t>
    </rPh>
    <rPh sb="213" eb="216">
      <t>ゲンジテン</t>
    </rPh>
    <rPh sb="218" eb="221">
      <t>タイショウガイ</t>
    </rPh>
    <rPh sb="231" eb="232">
      <t>スミ</t>
    </rPh>
    <rPh sb="236" eb="238">
      <t>ホウコウ</t>
    </rPh>
    <rPh sb="239" eb="241">
      <t>ゴウイ</t>
    </rPh>
    <phoneticPr fontId="2"/>
  </si>
  <si>
    <t>電子カルテ情報共有サービスの利用を行っている医療機関でも、訪問診療やオンライン診療、顔認証付きカードリーダーの故障時に、患者は閲覧保留文書への同意ができないため、医療機関が診療情報提供書の取得ができない。</t>
    <rPh sb="57" eb="58">
      <t>ジ</t>
    </rPh>
    <rPh sb="60" eb="62">
      <t>カンジャ</t>
    </rPh>
    <rPh sb="63" eb="69">
      <t>エツランホリュウブンショ</t>
    </rPh>
    <rPh sb="71" eb="73">
      <t>ドウイ</t>
    </rPh>
    <rPh sb="81" eb="85">
      <t>イリョウキカン</t>
    </rPh>
    <rPh sb="86" eb="93">
      <t>シンリョウジョウホウテイキョウショ</t>
    </rPh>
    <rPh sb="94" eb="96">
      <t>シュトク</t>
    </rPh>
    <phoneticPr fontId="2"/>
  </si>
  <si>
    <t>閲覧保留文書への同意機能</t>
    <rPh sb="0" eb="6">
      <t>エツランホリュウブンショ</t>
    </rPh>
    <rPh sb="8" eb="10">
      <t>ドウイ</t>
    </rPh>
    <phoneticPr fontId="2"/>
  </si>
  <si>
    <t>マイナ在宅受付Web</t>
    <rPh sb="3" eb="5">
      <t>ザイタク</t>
    </rPh>
    <rPh sb="5" eb="7">
      <t>ウケツケ</t>
    </rPh>
    <phoneticPr fontId="2"/>
  </si>
  <si>
    <t>・機能：閲覧保留文書の閲覧同意機能
・内容：電子カルテ情報共有サービスを利用している医療機関には、現行の顔CRやマイナポータル同様に、当該医療情報が電子カルテ情報共有サービス導入済みの場合は、閲覧保留文書について、文書ごとで同意できる同意操作画面（新規追加）を表示する。その上で同意情報をオンライン資格確認システムに送信する。
■備考
・対象は、医療機関・薬局を対象に実装想定（訪看ステーションは現時点では対象外）
・保険局とは調整済で、やる方向で合意している</t>
    <rPh sb="67" eb="69">
      <t>トウガイ</t>
    </rPh>
    <rPh sb="69" eb="73">
      <t>イリョウジョウホウ</t>
    </rPh>
    <rPh sb="74" eb="76">
      <t>デンシ</t>
    </rPh>
    <rPh sb="79" eb="83">
      <t>ジョウホウキョウユウ</t>
    </rPh>
    <rPh sb="87" eb="89">
      <t>ドウニュウ</t>
    </rPh>
    <rPh sb="89" eb="90">
      <t>ズ</t>
    </rPh>
    <rPh sb="92" eb="94">
      <t>バアイ</t>
    </rPh>
    <rPh sb="96" eb="102">
      <t>エツランホリュウブンショ</t>
    </rPh>
    <rPh sb="107" eb="109">
      <t>ブンショ</t>
    </rPh>
    <rPh sb="112" eb="114">
      <t>ドウイ</t>
    </rPh>
    <rPh sb="124" eb="126">
      <t>シンキ</t>
    </rPh>
    <rPh sb="126" eb="128">
      <t>ツイカ</t>
    </rPh>
    <rPh sb="166" eb="168">
      <t>ビコウ</t>
    </rPh>
    <rPh sb="170" eb="172">
      <t>タイショウ</t>
    </rPh>
    <rPh sb="174" eb="178">
      <t>イリョウキカン</t>
    </rPh>
    <rPh sb="179" eb="181">
      <t>ヤッキョク</t>
    </rPh>
    <rPh sb="182" eb="184">
      <t>タイショウ</t>
    </rPh>
    <rPh sb="185" eb="187">
      <t>ジッソウ</t>
    </rPh>
    <rPh sb="187" eb="189">
      <t>ソウテイ</t>
    </rPh>
    <rPh sb="190" eb="192">
      <t>ホウカン</t>
    </rPh>
    <rPh sb="199" eb="202">
      <t>ゲンジテン</t>
    </rPh>
    <rPh sb="204" eb="207">
      <t>タイショウガイ</t>
    </rPh>
    <rPh sb="217" eb="218">
      <t>スミ</t>
    </rPh>
    <rPh sb="222" eb="224">
      <t>ホウコウ</t>
    </rPh>
    <rPh sb="225" eb="227">
      <t>ゴウイ</t>
    </rPh>
    <phoneticPr fontId="2"/>
  </si>
  <si>
    <t>・マイナ在宅受付Web・マイナ資格確認アプリのレイアウト
・外部IFのXMLレイアウト(IF新規追加)</t>
    <rPh sb="4" eb="6">
      <t>ザイタク</t>
    </rPh>
    <rPh sb="6" eb="8">
      <t>ウケツケ</t>
    </rPh>
    <rPh sb="15" eb="17">
      <t>シカク</t>
    </rPh>
    <rPh sb="17" eb="19">
      <t>カクニン</t>
    </rPh>
    <rPh sb="30" eb="32">
      <t>ガイブ</t>
    </rPh>
    <rPh sb="46" eb="48">
      <t>シンキ</t>
    </rPh>
    <rPh sb="48" eb="50">
      <t>ツイカ</t>
    </rPh>
    <phoneticPr fontId="2"/>
  </si>
  <si>
    <t>113_02</t>
    <phoneticPr fontId="2"/>
  </si>
  <si>
    <t>マイナ在宅受付Web、マイナ資格確認アプリを使った、訪問診療、オンライン診療に関する閲覧保留文書への同意登録機能を追加改修する</t>
    <phoneticPr fontId="2"/>
  </si>
  <si>
    <t>■２：マイナ資格確認アプリ
・機能：閲覧保留文書の閲覧同意機能
・内容：電子カルテ情報共有サービスを利用している医療機関には、現行の顔CRやマイナポータル同様に、当該医療情報が電子カルテ情報共有サービス導入済みの場合は、閲覧保留文書について、文書ごとで同意できる同意操作画面（新規追加）を表示する。その上で同意情報をオンライン資格確認システムに送信する。
■備考
・対象は、医療機関・薬局を対象に実装想定（訪看ステーションは現時点では対象外）
・保険局とは調整済で、やる方向で合意している</t>
    <rPh sb="6" eb="10">
      <t>シカクカクニン</t>
    </rPh>
    <rPh sb="179" eb="181">
      <t>ビコウ</t>
    </rPh>
    <rPh sb="183" eb="185">
      <t>タイショウ</t>
    </rPh>
    <rPh sb="187" eb="191">
      <t>イリョウキカン</t>
    </rPh>
    <rPh sb="192" eb="194">
      <t>ヤッキョク</t>
    </rPh>
    <rPh sb="195" eb="197">
      <t>タイショウ</t>
    </rPh>
    <rPh sb="198" eb="200">
      <t>ジッソウ</t>
    </rPh>
    <rPh sb="200" eb="202">
      <t>ソウテイ</t>
    </rPh>
    <rPh sb="203" eb="205">
      <t>ホウカン</t>
    </rPh>
    <rPh sb="212" eb="215">
      <t>ゲンジテン</t>
    </rPh>
    <rPh sb="217" eb="220">
      <t>タイショウガイ</t>
    </rPh>
    <rPh sb="230" eb="231">
      <t>スミ</t>
    </rPh>
    <rPh sb="235" eb="237">
      <t>ホウコウ</t>
    </rPh>
    <rPh sb="238" eb="240">
      <t>ゴウイ</t>
    </rPh>
    <phoneticPr fontId="2"/>
  </si>
  <si>
    <t>電子カルテ情報共有サービスの利用を行っている医療機関でも、訪問診療や顔認証付きカードリーダーの故障時に、患者は閲覧保留文書への同意ができないため、医療機関が診療情報提供書の取得ができない。</t>
    <rPh sb="49" eb="50">
      <t>ジ</t>
    </rPh>
    <rPh sb="52" eb="54">
      <t>カンジャ</t>
    </rPh>
    <rPh sb="55" eb="61">
      <t>エツランホリュウブンショ</t>
    </rPh>
    <rPh sb="63" eb="65">
      <t>ドウイ</t>
    </rPh>
    <rPh sb="73" eb="77">
      <t>イリョウキカン</t>
    </rPh>
    <rPh sb="78" eb="85">
      <t>シンリョウジョウホウテイキョウショ</t>
    </rPh>
    <rPh sb="86" eb="88">
      <t>シュトク</t>
    </rPh>
    <phoneticPr fontId="2"/>
  </si>
  <si>
    <t>マイナ資格確認アプリ</t>
    <rPh sb="3" eb="7">
      <t>シカクカクニン</t>
    </rPh>
    <phoneticPr fontId="2"/>
  </si>
  <si>
    <t>・機能：閲覧保留文書の閲覧同意機能
・内容：電子カルテ情報共有サービスを利用している医療機関には、現行の顔CRやマイナポータル同様に、当該医療情報が電子カルテ情報共有サービス導入済みの場合は、閲覧保留文書について、文書ごとで同意できる同意操作画面（新規追加）を表示する。その上で同意情報をオンライン資格確認システムに送信する。
■備考
・対象は、医療機関・薬局を対象に実装想定（訪看ステーションは現時点では対象外）
・保険局とは調整済で、やる方向で合意している</t>
    <rPh sb="166" eb="168">
      <t>ビコウ</t>
    </rPh>
    <rPh sb="170" eb="172">
      <t>タイショウ</t>
    </rPh>
    <rPh sb="174" eb="178">
      <t>イリョウキカン</t>
    </rPh>
    <rPh sb="179" eb="181">
      <t>ヤッキョク</t>
    </rPh>
    <rPh sb="182" eb="184">
      <t>タイショウ</t>
    </rPh>
    <rPh sb="185" eb="187">
      <t>ジッソウ</t>
    </rPh>
    <rPh sb="187" eb="189">
      <t>ソウテイ</t>
    </rPh>
    <rPh sb="190" eb="192">
      <t>ホウカン</t>
    </rPh>
    <rPh sb="199" eb="202">
      <t>ゲンジテン</t>
    </rPh>
    <rPh sb="204" eb="207">
      <t>タイショウガイ</t>
    </rPh>
    <rPh sb="217" eb="218">
      <t>スミ</t>
    </rPh>
    <rPh sb="222" eb="224">
      <t>ホウコウ</t>
    </rPh>
    <rPh sb="225" eb="227">
      <t>ゴウイ</t>
    </rPh>
    <phoneticPr fontId="2"/>
  </si>
  <si>
    <t>マイナ在宅Web、マイナ資格</t>
    <rPh sb="4" eb="6">
      <t>カイハツ</t>
    </rPh>
    <rPh sb="6" eb="8">
      <t>カダイ</t>
    </rPh>
    <rPh sb="8" eb="10">
      <t>ケントウ</t>
    </rPh>
    <rPh sb="10" eb="11">
      <t>カイ</t>
    </rPh>
    <rPh sb="13" eb="14">
      <t>ヒツ</t>
    </rPh>
    <phoneticPr fontId="2"/>
  </si>
  <si>
    <t>■３：電子カルテ情報共有サービス
・機能：閲覧保留文書の一覧出力機能
・内容：マイナ在宅受付Web・マイナ資格確認アプリに閲覧保留文書の同意操作画面を表示するために、閲覧保留文書の一覧を出力し、オンライン資格確認システムを通じてマイナ在宅受付Web・マイナ資格確認アプリに送信する。
■備考
・対象は、医療機関・薬局を対象に実装想定（訪看ステーションは現時点では対象外）
・保険局とは調整済で、やる方向で合意している</t>
    <rPh sb="3" eb="5">
      <t>デンシ</t>
    </rPh>
    <rPh sb="8" eb="12">
      <t>ジョウホウキョウユウ</t>
    </rPh>
    <rPh sb="28" eb="30">
      <t>イチラン</t>
    </rPh>
    <rPh sb="30" eb="34">
      <t>シュツリョクキノウ</t>
    </rPh>
    <rPh sb="61" eb="67">
      <t>エツランホリュウブンショ</t>
    </rPh>
    <rPh sb="83" eb="89">
      <t>エツランホリュウブンショ</t>
    </rPh>
    <rPh sb="90" eb="92">
      <t>イチラン</t>
    </rPh>
    <rPh sb="93" eb="95">
      <t>シュツリョク</t>
    </rPh>
    <rPh sb="111" eb="112">
      <t>ツウ</t>
    </rPh>
    <rPh sb="144" eb="146">
      <t>ビコウ</t>
    </rPh>
    <rPh sb="148" eb="150">
      <t>タイショウ</t>
    </rPh>
    <rPh sb="152" eb="156">
      <t>イリョウキカン</t>
    </rPh>
    <rPh sb="157" eb="159">
      <t>ヤッキョク</t>
    </rPh>
    <rPh sb="160" eb="162">
      <t>タイショウ</t>
    </rPh>
    <rPh sb="163" eb="165">
      <t>ジッソウ</t>
    </rPh>
    <rPh sb="165" eb="167">
      <t>ソウテイ</t>
    </rPh>
    <rPh sb="168" eb="170">
      <t>ホウカン</t>
    </rPh>
    <rPh sb="177" eb="180">
      <t>ゲンジテン</t>
    </rPh>
    <rPh sb="182" eb="185">
      <t>タイショウガイ</t>
    </rPh>
    <rPh sb="195" eb="196">
      <t>スミ</t>
    </rPh>
    <rPh sb="200" eb="202">
      <t>ホウコウ</t>
    </rPh>
    <rPh sb="203" eb="205">
      <t>ゴウイ</t>
    </rPh>
    <phoneticPr fontId="2"/>
  </si>
  <si>
    <t>閲覧保留文書一覧出力機能</t>
    <rPh sb="0" eb="6">
      <t>エツランホリュウブンショ</t>
    </rPh>
    <rPh sb="6" eb="8">
      <t>イチラン</t>
    </rPh>
    <rPh sb="8" eb="10">
      <t>シュツリョク</t>
    </rPh>
    <phoneticPr fontId="2"/>
  </si>
  <si>
    <t>・機能：閲覧保留文書の一覧出力機能
・内容：マイナ在宅受付Web・マイナ資格確認アプリに閲覧保留文書の同意操作画面を表示するために、閲覧保留文書の一覧を出力し、オンライン資格確認システムを通じてマイナ在宅受付Web・マイナ資格確認アプリに送信する。
■備考
・対象は、医療機関・薬局を対象に実装想定（訪看ステーションは現時点では対象外）
・保険局とは調整済で、やる方向で合意している</t>
    <rPh sb="11" eb="13">
      <t>イチラン</t>
    </rPh>
    <rPh sb="13" eb="17">
      <t>シュツリョクキノウ</t>
    </rPh>
    <rPh sb="44" eb="50">
      <t>エツランホリュウブンショ</t>
    </rPh>
    <rPh sb="66" eb="72">
      <t>エツランホリュウブンショ</t>
    </rPh>
    <rPh sb="73" eb="75">
      <t>イチラン</t>
    </rPh>
    <rPh sb="76" eb="78">
      <t>シュツリョク</t>
    </rPh>
    <rPh sb="94" eb="95">
      <t>ツウ</t>
    </rPh>
    <rPh sb="127" eb="129">
      <t>ビコウ</t>
    </rPh>
    <rPh sb="131" eb="133">
      <t>タイショウ</t>
    </rPh>
    <rPh sb="135" eb="139">
      <t>イリョウキカン</t>
    </rPh>
    <rPh sb="140" eb="142">
      <t>ヤッキョク</t>
    </rPh>
    <rPh sb="143" eb="145">
      <t>タイショウ</t>
    </rPh>
    <rPh sb="146" eb="148">
      <t>ジッソウ</t>
    </rPh>
    <rPh sb="148" eb="150">
      <t>ソウテイ</t>
    </rPh>
    <rPh sb="151" eb="153">
      <t>ホウカン</t>
    </rPh>
    <rPh sb="160" eb="163">
      <t>ゲンジテン</t>
    </rPh>
    <rPh sb="165" eb="168">
      <t>タイショウガイ</t>
    </rPh>
    <rPh sb="178" eb="179">
      <t>スミ</t>
    </rPh>
    <rPh sb="183" eb="185">
      <t>ホウコウ</t>
    </rPh>
    <rPh sb="186" eb="188">
      <t>ゴウイ</t>
    </rPh>
    <phoneticPr fontId="2"/>
  </si>
  <si>
    <t>114</t>
    <phoneticPr fontId="2"/>
  </si>
  <si>
    <t>114-01</t>
    <phoneticPr fontId="2"/>
  </si>
  <si>
    <t>アレルギーの「臨床的状態」の出現回数の変更(任意から必須)</t>
    <rPh sb="14" eb="16">
      <t>シュツゲン</t>
    </rPh>
    <rPh sb="16" eb="18">
      <t>カイスウ</t>
    </rPh>
    <rPh sb="19" eb="21">
      <t>ヘンコウ</t>
    </rPh>
    <rPh sb="22" eb="24">
      <t>ニンイ</t>
    </rPh>
    <rPh sb="26" eb="28">
      <t>ヒッス</t>
    </rPh>
    <phoneticPr fontId="2"/>
  </si>
  <si>
    <t>マイナポータルI/Fのアレルギーの臨床的状態に関する出現回数(最小)変更する</t>
    <phoneticPr fontId="2"/>
  </si>
  <si>
    <t>■起票背景
マイナポータルのXMLレイアウト上、アレルギーの臨床的状態に関する出現回数(最小)が0になっていることについて、シンプレックス社からデータが入っていないことがあるのかという疑義を受け、結論必ず何らかのステータスデータが入ってくることが確認できた。
■目的
外部I/Fに実際に確実にデータが入ってくるものを必須としておくことで、今後マイナポータルフロントエンドの画面開発がしやすい環境を整える。</t>
    <phoneticPr fontId="2"/>
  </si>
  <si>
    <t>デジタル庁：済</t>
    <rPh sb="6" eb="7">
      <t>スミ</t>
    </rPh>
    <phoneticPr fontId="2"/>
  </si>
  <si>
    <t xml:space="preserve">取り下げ理由：
関係団体との調整の結果、取り下げとなった。
（7/7開発課題検討会）
</t>
    <rPh sb="0" eb="1">
      <t>ト</t>
    </rPh>
    <rPh sb="2" eb="3">
      <t>サ</t>
    </rPh>
    <rPh sb="4" eb="6">
      <t>リユウ</t>
    </rPh>
    <rPh sb="8" eb="10">
      <t>カンケイ</t>
    </rPh>
    <rPh sb="10" eb="12">
      <t>ダンタイ</t>
    </rPh>
    <rPh sb="14" eb="16">
      <t>チョウセイ</t>
    </rPh>
    <rPh sb="17" eb="19">
      <t>ケッカ</t>
    </rPh>
    <rPh sb="20" eb="21">
      <t>ト</t>
    </rPh>
    <rPh sb="22" eb="23">
      <t>サ</t>
    </rPh>
    <rPh sb="34" eb="36">
      <t>カイハツ</t>
    </rPh>
    <rPh sb="36" eb="38">
      <t>カダイ</t>
    </rPh>
    <rPh sb="38" eb="40">
      <t>ケントウ</t>
    </rPh>
    <rPh sb="40" eb="41">
      <t>カイ</t>
    </rPh>
    <phoneticPr fontId="2"/>
  </si>
  <si>
    <t>マイナポータルへの連携機能</t>
    <rPh sb="9" eb="11">
      <t>レンケイ</t>
    </rPh>
    <rPh sb="11" eb="13">
      <t>キノウ</t>
    </rPh>
    <phoneticPr fontId="2"/>
  </si>
  <si>
    <t>■要求事項
機能：マイナポータルI/F
内容：以下の出現回数(最小)を0から1に変更する。
CIP-IF-002「臨床情報閲覧結果」：タグ名「ArStr」、「YkStr」
CIP-IF-004「患者サマリー出力結果」：タグ名「ArStr」、「YkStr」
■備考
・基金の要望にて起票</t>
    <rPh sb="131" eb="133">
      <t>ビコウ</t>
    </rPh>
    <rPh sb="135" eb="137">
      <t>キキン</t>
    </rPh>
    <rPh sb="138" eb="140">
      <t>ヨウボウ</t>
    </rPh>
    <rPh sb="142" eb="144">
      <t>キヒョウ</t>
    </rPh>
    <phoneticPr fontId="2"/>
  </si>
  <si>
    <t>必ずデータが入ってくる項目に、出現回数(最小)が0となっているため、実態にそぐわない外部I/Fとなっている。(但し、逆にこれで困るステークホルダーもいないため、あくまでI/Fのきれいさをどこまで追求するかだけの問題と認識)</t>
    <phoneticPr fontId="2"/>
  </si>
  <si>
    <t>マイナポータルI/F</t>
    <phoneticPr fontId="2"/>
  </si>
  <si>
    <t>以下の出現回数(最小)を0から1に変更する。
CIP-IF-002「臨床情報閲覧結果」：タグ名「ArStr」、「YkStr」
CIP-IF-004「患者サマリー出力結果」：タグ名「ArStr」、「YkStr」
■備考
・基金の要望にて起票</t>
    <phoneticPr fontId="2"/>
  </si>
  <si>
    <t>CIP-IF-002「臨床情報閲覧結果」：タグ名「ArStr」、「YkStr」
CIP-IF-004「患者サマリー出力結果」：タグ名「ArStr」、「YkStr」</t>
    <phoneticPr fontId="2"/>
  </si>
  <si>
    <t>116</t>
    <phoneticPr fontId="2"/>
  </si>
  <si>
    <t>116_01</t>
    <phoneticPr fontId="2"/>
  </si>
  <si>
    <t>Terminologyの中央基盤への取り込み頻度向上(月次での取り込み)</t>
    <phoneticPr fontId="2"/>
  </si>
  <si>
    <t>Terminologyを月次で電子カルテ情報共有サービスに取り込む。</t>
    <rPh sb="12" eb="14">
      <t>ゲツジ</t>
    </rPh>
    <rPh sb="15" eb="17">
      <t>デンシ</t>
    </rPh>
    <rPh sb="20" eb="24">
      <t>ジョウホウキョウユウ</t>
    </rPh>
    <rPh sb="29" eb="30">
      <t>ト</t>
    </rPh>
    <rPh sb="31" eb="32">
      <t>コ</t>
    </rPh>
    <phoneticPr fontId="2"/>
  </si>
  <si>
    <t>■起票背景
現状、標準マスタのチェックは、タイムリーなTerminologyの更新ができないことを想定して、アドオンチェックはタイムリーに更新されるマスタを、ベースチェックはプロファイル取り込み時に更新されるTerminologyを用いる仕様で実装している。しかし、大江先生と調整し、以下の方針でTerminologyを更新することで合意したため、大江先生による更新頻度に合わせた中央基盤への取り込みを実施する必要がある。
&lt;方針&gt;
毎月15日ごろにJPFHIR　Terminologyへの取り込み対象マスタを大江先生に厚労省から通知し、１営業日程度でTerminologyに反映いただく
■目的
電子カルテ情報共有サービス基盤へのTerminology取込頻度を上げ、タイムリーなTerminologyの更新を実装する。</t>
    <rPh sb="1" eb="3">
      <t>キヒョウ</t>
    </rPh>
    <rPh sb="3" eb="5">
      <t>ハイケイ</t>
    </rPh>
    <rPh sb="69" eb="71">
      <t>コウシン</t>
    </rPh>
    <rPh sb="93" eb="94">
      <t>ト</t>
    </rPh>
    <rPh sb="95" eb="96">
      <t>コ</t>
    </rPh>
    <rPh sb="97" eb="98">
      <t>ジ</t>
    </rPh>
    <rPh sb="99" eb="101">
      <t>コウシン</t>
    </rPh>
    <rPh sb="116" eb="117">
      <t>モチ</t>
    </rPh>
    <rPh sb="119" eb="121">
      <t>シヨウ</t>
    </rPh>
    <rPh sb="133" eb="135">
      <t>オオエ</t>
    </rPh>
    <rPh sb="135" eb="137">
      <t>センセイ</t>
    </rPh>
    <rPh sb="138" eb="140">
      <t>チョウセイ</t>
    </rPh>
    <rPh sb="142" eb="144">
      <t>イカ</t>
    </rPh>
    <rPh sb="145" eb="147">
      <t>ホウシン</t>
    </rPh>
    <rPh sb="160" eb="162">
      <t>コウシン</t>
    </rPh>
    <rPh sb="167" eb="169">
      <t>ゴウイ</t>
    </rPh>
    <rPh sb="174" eb="176">
      <t>オオエ</t>
    </rPh>
    <rPh sb="176" eb="178">
      <t>センセイ</t>
    </rPh>
    <rPh sb="181" eb="183">
      <t>コウシン</t>
    </rPh>
    <rPh sb="183" eb="185">
      <t>ヒンド</t>
    </rPh>
    <rPh sb="186" eb="187">
      <t>ア</t>
    </rPh>
    <rPh sb="190" eb="192">
      <t>チュウオウ</t>
    </rPh>
    <rPh sb="192" eb="194">
      <t>キバン</t>
    </rPh>
    <rPh sb="196" eb="197">
      <t>ト</t>
    </rPh>
    <rPh sb="198" eb="199">
      <t>コ</t>
    </rPh>
    <rPh sb="201" eb="203">
      <t>ジッシ</t>
    </rPh>
    <rPh sb="205" eb="207">
      <t>ヒツヨウ</t>
    </rPh>
    <rPh sb="213" eb="215">
      <t>ホウシン</t>
    </rPh>
    <rPh sb="217" eb="219">
      <t>マイツキ</t>
    </rPh>
    <rPh sb="221" eb="222">
      <t>ニチ</t>
    </rPh>
    <rPh sb="245" eb="246">
      <t>ト</t>
    </rPh>
    <rPh sb="247" eb="248">
      <t>コ</t>
    </rPh>
    <rPh sb="249" eb="251">
      <t>タイショウ</t>
    </rPh>
    <rPh sb="255" eb="257">
      <t>オオエ</t>
    </rPh>
    <rPh sb="257" eb="259">
      <t>センセイ</t>
    </rPh>
    <rPh sb="260" eb="263">
      <t>コウロウショウ</t>
    </rPh>
    <rPh sb="265" eb="267">
      <t>ツウチ</t>
    </rPh>
    <rPh sb="270" eb="272">
      <t>エイギョウ</t>
    </rPh>
    <rPh sb="272" eb="273">
      <t>ビ</t>
    </rPh>
    <rPh sb="273" eb="275">
      <t>テイド</t>
    </rPh>
    <rPh sb="288" eb="290">
      <t>ハンエイ</t>
    </rPh>
    <rPh sb="297" eb="299">
      <t>モクテキ</t>
    </rPh>
    <rPh sb="300" eb="302">
      <t>デンシ</t>
    </rPh>
    <rPh sb="305" eb="307">
      <t>ジョウホウ</t>
    </rPh>
    <rPh sb="307" eb="309">
      <t>キョウユウ</t>
    </rPh>
    <rPh sb="313" eb="315">
      <t>キバン</t>
    </rPh>
    <rPh sb="328" eb="330">
      <t>トリコミ</t>
    </rPh>
    <rPh sb="330" eb="332">
      <t>ヒンド</t>
    </rPh>
    <rPh sb="333" eb="334">
      <t>ア</t>
    </rPh>
    <rPh sb="354" eb="356">
      <t>コウシン</t>
    </rPh>
    <rPh sb="357" eb="359">
      <t>ジッソウ</t>
    </rPh>
    <phoneticPr fontId="2"/>
  </si>
  <si>
    <t>Terminologyの取り込み前にアドオンチェックのマスタが更新されたとしても、不要な「ワーニング」が医療機関に返却されず、スムーズな業務遂行が可能となる</t>
    <rPh sb="68" eb="70">
      <t>ギョウム</t>
    </rPh>
    <rPh sb="70" eb="72">
      <t>スイコウ</t>
    </rPh>
    <rPh sb="73" eb="75">
      <t>カノウ</t>
    </rPh>
    <phoneticPr fontId="2"/>
  </si>
  <si>
    <t>大江先生：済（ターミノロジーのタイムリーな更新をしていただく方針で合意）</t>
    <rPh sb="0" eb="2">
      <t>オオエ</t>
    </rPh>
    <rPh sb="2" eb="4">
      <t>センセイ</t>
    </rPh>
    <rPh sb="5" eb="6">
      <t>スミ</t>
    </rPh>
    <rPh sb="21" eb="23">
      <t>コウシン</t>
    </rPh>
    <rPh sb="30" eb="32">
      <t>ホウシン</t>
    </rPh>
    <rPh sb="33" eb="35">
      <t>ゴウイ</t>
    </rPh>
    <phoneticPr fontId="2"/>
  </si>
  <si>
    <t>Terminologyの中央基盤取り込み</t>
    <rPh sb="12" eb="14">
      <t>チュウオウ</t>
    </rPh>
    <rPh sb="14" eb="16">
      <t>キバン</t>
    </rPh>
    <rPh sb="16" eb="17">
      <t>ト</t>
    </rPh>
    <rPh sb="18" eb="19">
      <t>コ</t>
    </rPh>
    <phoneticPr fontId="2"/>
  </si>
  <si>
    <t>■要求事項
・月次で更新されるTerminologyを電子カルテ情報共有サービス基盤へ取り込む
※検証用ツールへの反映等のTerminology変更に伴う対応を含む</t>
    <rPh sb="1" eb="3">
      <t>ヨウキュウ</t>
    </rPh>
    <rPh sb="3" eb="5">
      <t>ジコウ</t>
    </rPh>
    <rPh sb="7" eb="9">
      <t>ゲツジ</t>
    </rPh>
    <rPh sb="10" eb="12">
      <t>コウシン</t>
    </rPh>
    <rPh sb="27" eb="29">
      <t>デンシ</t>
    </rPh>
    <rPh sb="32" eb="36">
      <t>ジョウホウキョウユウ</t>
    </rPh>
    <rPh sb="40" eb="42">
      <t>キバン</t>
    </rPh>
    <rPh sb="43" eb="44">
      <t>ト</t>
    </rPh>
    <rPh sb="45" eb="46">
      <t>コ</t>
    </rPh>
    <rPh sb="49" eb="52">
      <t>ケンショウヨウ</t>
    </rPh>
    <rPh sb="57" eb="59">
      <t>ハンエイ</t>
    </rPh>
    <rPh sb="59" eb="60">
      <t>トウ</t>
    </rPh>
    <rPh sb="72" eb="74">
      <t>ヘンコウ</t>
    </rPh>
    <rPh sb="75" eb="76">
      <t>トモナ</t>
    </rPh>
    <rPh sb="77" eb="79">
      <t>タイオウ</t>
    </rPh>
    <rPh sb="80" eb="81">
      <t>フク</t>
    </rPh>
    <phoneticPr fontId="2"/>
  </si>
  <si>
    <t>ベースチェックの照合先となるJP-FHIRターミノロジーに収載される標準マスタコードの更新タイミングが古いと、医療機関等システムにはベースチェックの結果(Warning等)が表示されてしまう。</t>
    <phoneticPr fontId="2"/>
  </si>
  <si>
    <t>117</t>
  </si>
  <si>
    <t>117_01</t>
    <phoneticPr fontId="2"/>
  </si>
  <si>
    <t>標準マスタの文字コード統一(UTF-8)対応(薬剤アレルギー用コード、剤形・規格・銘柄不明コード、YJコード)</t>
    <rPh sb="20" eb="22">
      <t>タイオウ</t>
    </rPh>
    <phoneticPr fontId="2"/>
  </si>
  <si>
    <t>薬剤アレルギー用コード、剤形・規格・銘柄不明コード、YJコードの文字コードを統一(UTF-8)する</t>
    <phoneticPr fontId="2"/>
  </si>
  <si>
    <t>医療情報研究所</t>
    <rPh sb="0" eb="4">
      <t>イリョウジョウホウ</t>
    </rPh>
    <rPh sb="4" eb="7">
      <t>ケンキュウジョ</t>
    </rPh>
    <phoneticPr fontId="2"/>
  </si>
  <si>
    <t>取り下げ理由：ID093として対応するため取り下げ取り下げ（7/7 開発課題検討会）</t>
    <rPh sb="0" eb="1">
      <t>ト</t>
    </rPh>
    <rPh sb="2" eb="3">
      <t>サ</t>
    </rPh>
    <phoneticPr fontId="2"/>
  </si>
  <si>
    <t>電子カルテ情報共有サービス内で管理する標準マスタを「UTF-8」とし、排するマスタも同様に「UTF-8」とする。そのため、配信ファイルレイアウトも「UTF-8」に変更する。
■備考
現状SJISで配信しているマスタの作成元(医薬情報研究所)でSJIS形式からUTF-8に変換した上で、基金に提供されることが前提。</t>
    <phoneticPr fontId="2"/>
  </si>
  <si>
    <t>薬剤アレルギー用コード、剤形・規格・銘柄不明コード、YJコード</t>
    <phoneticPr fontId="2"/>
  </si>
  <si>
    <t>118</t>
  </si>
  <si>
    <t>118_01</t>
    <phoneticPr fontId="2"/>
  </si>
  <si>
    <t>標準マスタの文字コード統一(UTF-8)の対応(傷病名、修飾語マスタ)</t>
    <rPh sb="21" eb="23">
      <t>タイオウ</t>
    </rPh>
    <phoneticPr fontId="2"/>
  </si>
  <si>
    <t>傷病名、修飾語の文字コードを統一(UTF-8)する</t>
    <phoneticPr fontId="2"/>
  </si>
  <si>
    <t>■要求事項
・機能：標準マスタ管理・提供機能
・内容：電子カルテ情報共有サービス内で管理する標準マスタを「UTF-8」とし、排するマスタも同様に「UTF-8」とする。そのため、配信ファイルレイアウトも「UTF-8」に変更する。
■備考
現状SJISで配信しているマスタの作成元(MEDIS)でSJIS形式からUTF-8に変換した上で、基金に提供されることが前提。</t>
    <phoneticPr fontId="2"/>
  </si>
  <si>
    <t>電子カルテ情報共有サービス内で管理する標準マスタを「UTF-8」とし、排するマスタも同様に「UTF-8」とする。そのため、配信ファイルレイアウトも「UTF-8」に変更する。
■備考
現状SJISで配信しているマスタの作成元(MEDIS)でSJIS形式からUTF-8に変換した上で、基金に提供されることが前提。</t>
    <phoneticPr fontId="2"/>
  </si>
  <si>
    <t>傷病名、修飾語</t>
    <phoneticPr fontId="2"/>
  </si>
  <si>
    <t>119</t>
    <phoneticPr fontId="2"/>
  </si>
  <si>
    <t>119_01</t>
    <phoneticPr fontId="2"/>
  </si>
  <si>
    <t>不開示該当フラグの患者における文書情報の住所対応</t>
    <phoneticPr fontId="2"/>
  </si>
  <si>
    <t xml:space="preserve">■起票背景
加害者あるいは加害者の知人が紹介先医療機関で働いているケースにおいて、被害者が上記の医療機関に紹介される場合に、電子カルテ情報共有サービスを使って診療情報提供書と退院時サマリーを送付すると、紹介先医療機関にいる加害者あるいは加害者の友人に被害者の住所情報が知られてしまうリスクがある。
保険局より本件について照会があり、起票。
■目的
不開示該当フラグがある患者が電子カルテ情報共有サービスの文書情報を利用した場合、住所情報が他医療機関に連携されないようにする。
</t>
    <phoneticPr fontId="2"/>
  </si>
  <si>
    <t>不開示該当フラグがある患者が電子カルテ情報共有サービスの文書情報を利用した場合、文書情報に住所・郵便番号が記載されているため、住所情報が加害者の知人が務める医療機関に伝わってしまうリスクが防げる</t>
    <rPh sb="94" eb="95">
      <t>フセ</t>
    </rPh>
    <phoneticPr fontId="2"/>
  </si>
  <si>
    <t>保険局</t>
    <rPh sb="0" eb="3">
      <t>ホケンキョク</t>
    </rPh>
    <phoneticPr fontId="2"/>
  </si>
  <si>
    <t>取り下げ理由：ID125として対応するため取り下げ</t>
    <rPh sb="0" eb="1">
      <t>ト</t>
    </rPh>
    <rPh sb="2" eb="3">
      <t>サ</t>
    </rPh>
    <rPh sb="4" eb="6">
      <t>リユウ</t>
    </rPh>
    <rPh sb="15" eb="17">
      <t>タイオウ</t>
    </rPh>
    <rPh sb="21" eb="22">
      <t>ト</t>
    </rPh>
    <rPh sb="23" eb="24">
      <t>サ</t>
    </rPh>
    <phoneticPr fontId="2"/>
  </si>
  <si>
    <t>文書の登録</t>
    <rPh sb="0" eb="2">
      <t>ブンショ</t>
    </rPh>
    <rPh sb="3" eb="5">
      <t>トウロク</t>
    </rPh>
    <phoneticPr fontId="2"/>
  </si>
  <si>
    <t>■要求事項１
・FHIRプロファイルのPatientリソースの住所情報項目（Patient.address、多重度1..1）の多重度を改修し、文書情報の住所を条件付き必須として設定できるようにする
■要求事項２
・機能：アドオンチェック機能
・内容：文書登録の際に、以下のチェックを行う。
①患者に不開示該当フラグが立っている場合、患者の住所情報が記録されてはならない
　患者の住所情報が記録されていれば登録エラーとして、不開示フラグが設定されていることをメッセージで返却する
②患者に不開示該当フラグが立っていない場合、患者の住所情報が記録されていなければならない
　患者の住所情報が空欄の場合は登録エラーとして、住所を記述する旨のメッセージを返却する
■備考
・医療安全の観点から患者の連絡先を確保するため、不開示該当フラグがない限り住所情報は必ず記載することとする。
・要求事項２の①の登録エラーを受け取った医療機関は、住所情報を全て削除して文書を再登録する。</t>
    <phoneticPr fontId="2"/>
  </si>
  <si>
    <t>不開示該当フラグがある患者が電子カルテ情報共有サービスの文書情報を利用した場合、文書情報に住所・郵便番号が記載されているため、住所情報が加害者の知人が務める医療機関に伝わってしまう可能性がある。</t>
    <phoneticPr fontId="2"/>
  </si>
  <si>
    <t>文書登録の際に、以下のチェックを行う。
①患者に不開示該当フラグが立っている場合、患者の住所情報が記録されてはならない
　患者の住所情報が記録されていれば登録エラーとして、不開示フラグが設定されていることをメッセージで返却する
②患者に不開示該当フラグが立っていない場合、患者の住所情報が記録されていなければならない
　患者の住所情報が空欄の場合は登録エラーとして、住所を記述する旨のメッセージを返却する
■備考
・医療安全の観点から患者の連絡先を確保するため、不開示該当フラグがない限り住所情報は必ず記載することとする。
・要求事項２の①の登録エラーを受け取った医療機関は、住所情報を全て削除して文書を再登録する。</t>
    <phoneticPr fontId="2"/>
  </si>
  <si>
    <t>120</t>
    <phoneticPr fontId="2"/>
  </si>
  <si>
    <t>120_01</t>
    <phoneticPr fontId="2"/>
  </si>
  <si>
    <t>後期高齢者健診の登録における「法別番号：39」以外の登録制御</t>
    <phoneticPr fontId="2"/>
  </si>
  <si>
    <t>後期高齢者健診の登録において、「法別番号：39」以外で登録しようとした場合、エラーで返却する</t>
    <rPh sb="27" eb="29">
      <t>トウロク</t>
    </rPh>
    <rPh sb="35" eb="37">
      <t>バアイ</t>
    </rPh>
    <rPh sb="42" eb="44">
      <t>ヘンキャク</t>
    </rPh>
    <phoneticPr fontId="2"/>
  </si>
  <si>
    <t>■起票背景
基金運用チームより、後期高齢者健診の登録において、「法別番号：39」以外で登録した場合にエラーとした方がいいのではないかと指摘を受領。
■目的
健診種別ごとで登録できる法別番号を制御し、誤った健診種別で登録することを防ぐ。</t>
    <rPh sb="1" eb="3">
      <t>キヒョウ</t>
    </rPh>
    <rPh sb="3" eb="5">
      <t>ハイケイ</t>
    </rPh>
    <rPh sb="6" eb="8">
      <t>キキン</t>
    </rPh>
    <rPh sb="8" eb="10">
      <t>ウンヨウ</t>
    </rPh>
    <rPh sb="40" eb="42">
      <t>イガイ</t>
    </rPh>
    <rPh sb="43" eb="45">
      <t>トウロク</t>
    </rPh>
    <rPh sb="47" eb="49">
      <t>バアイ</t>
    </rPh>
    <rPh sb="56" eb="57">
      <t>ホウ</t>
    </rPh>
    <rPh sb="67" eb="69">
      <t>シテキ</t>
    </rPh>
    <rPh sb="70" eb="72">
      <t>ジュリョウ</t>
    </rPh>
    <rPh sb="76" eb="78">
      <t>モクテキ</t>
    </rPh>
    <rPh sb="100" eb="101">
      <t>アヤマ</t>
    </rPh>
    <rPh sb="103" eb="105">
      <t>ケンシン</t>
    </rPh>
    <rPh sb="105" eb="107">
      <t>シュベツ</t>
    </rPh>
    <rPh sb="108" eb="110">
      <t>トウロク</t>
    </rPh>
    <rPh sb="115" eb="116">
      <t>フセ</t>
    </rPh>
    <phoneticPr fontId="2"/>
  </si>
  <si>
    <t xml:space="preserve">■要求事項
機能：アドオンチェック機能
内容：後期高齢者健診の登録時に、登録した被保険者証情報の「法別番号：39」以外の場合はエラーで返却する
</t>
    <rPh sb="1" eb="3">
      <t>ヨウキュウ</t>
    </rPh>
    <rPh sb="3" eb="5">
      <t>ジコウ</t>
    </rPh>
    <rPh sb="6" eb="8">
      <t>キノウ</t>
    </rPh>
    <rPh sb="17" eb="19">
      <t>キノウ</t>
    </rPh>
    <rPh sb="23" eb="25">
      <t>コウキ</t>
    </rPh>
    <rPh sb="25" eb="28">
      <t>コウレイシャ</t>
    </rPh>
    <rPh sb="28" eb="30">
      <t>ケンシン</t>
    </rPh>
    <rPh sb="31" eb="33">
      <t>トウロク</t>
    </rPh>
    <rPh sb="33" eb="34">
      <t>ジ</t>
    </rPh>
    <rPh sb="36" eb="38">
      <t>トウロク</t>
    </rPh>
    <rPh sb="40" eb="45">
      <t>ヒホケンシャショウ</t>
    </rPh>
    <rPh sb="45" eb="47">
      <t>ジョウホウ</t>
    </rPh>
    <rPh sb="49" eb="51">
      <t>ホウベツ</t>
    </rPh>
    <rPh sb="51" eb="53">
      <t>バンゴウ</t>
    </rPh>
    <rPh sb="57" eb="59">
      <t>イガイ</t>
    </rPh>
    <rPh sb="60" eb="62">
      <t>バアイ</t>
    </rPh>
    <rPh sb="67" eb="69">
      <t>ヘンキャク</t>
    </rPh>
    <phoneticPr fontId="2"/>
  </si>
  <si>
    <t>健診種別ごとで登録できる法別番号を制御していない</t>
    <rPh sb="0" eb="4">
      <t>ケンシンシュベツ</t>
    </rPh>
    <rPh sb="7" eb="9">
      <t>トウロク</t>
    </rPh>
    <rPh sb="12" eb="13">
      <t>ホウ</t>
    </rPh>
    <rPh sb="13" eb="14">
      <t>ベツ</t>
    </rPh>
    <rPh sb="14" eb="16">
      <t>バンゴウ</t>
    </rPh>
    <rPh sb="17" eb="19">
      <t>セイギョ</t>
    </rPh>
    <phoneticPr fontId="2"/>
  </si>
  <si>
    <t>後期高齢者健診の登録時に、登録した被保険者証情報の「法別番号：39」以外の場合はエラーで返却する</t>
    <phoneticPr fontId="2"/>
  </si>
  <si>
    <t>121</t>
    <phoneticPr fontId="2"/>
  </si>
  <si>
    <t>121_01</t>
    <phoneticPr fontId="2"/>
  </si>
  <si>
    <t>感染症情報のstatusが「registered(結果未着)/cancelled(中止)」の場合にデータ出力しない制御(患者サマリー)</t>
    <rPh sb="0" eb="3">
      <t>カンセンショウ</t>
    </rPh>
    <rPh sb="3" eb="5">
      <t>ジョウホウ</t>
    </rPh>
    <rPh sb="46" eb="48">
      <t>バアイ</t>
    </rPh>
    <rPh sb="52" eb="54">
      <t>シュツリョク</t>
    </rPh>
    <rPh sb="57" eb="59">
      <t>セイギョ</t>
    </rPh>
    <rPh sb="60" eb="62">
      <t>カンジャ</t>
    </rPh>
    <phoneticPr fontId="3"/>
  </si>
  <si>
    <t>要件不備対応</t>
    <phoneticPr fontId="2"/>
  </si>
  <si>
    <t>患者サマリーの臨床情報閲覧機能(PDF帳票・マイナポータル)で、感染症のObservationのstatusがresisterd/cancelledの場合、感染症検査結果を出力無しに変更する。</t>
    <rPh sb="7" eb="9">
      <t>リンショウ</t>
    </rPh>
    <rPh sb="9" eb="11">
      <t>ジョウホウ</t>
    </rPh>
    <rPh sb="11" eb="13">
      <t>エツラン</t>
    </rPh>
    <rPh sb="13" eb="15">
      <t>キノウ</t>
    </rPh>
    <rPh sb="19" eb="21">
      <t>チョウヒョウ</t>
    </rPh>
    <rPh sb="32" eb="35">
      <t>カンセンショウ</t>
    </rPh>
    <rPh sb="75" eb="77">
      <t>バアイ</t>
    </rPh>
    <rPh sb="78" eb="81">
      <t>カンセンショウ</t>
    </rPh>
    <rPh sb="81" eb="83">
      <t>ケンサ</t>
    </rPh>
    <rPh sb="83" eb="85">
      <t>ケッカ</t>
    </rPh>
    <rPh sb="86" eb="88">
      <t>シュツリョク</t>
    </rPh>
    <rPh sb="88" eb="89">
      <t>ナシ</t>
    </rPh>
    <rPh sb="91" eb="93">
      <t>ヘンコウ</t>
    </rPh>
    <phoneticPr fontId="2"/>
  </si>
  <si>
    <t>■起票背景
患者サマリーの感染症情報については、患者に検査結果を説明した後にデータ登録することを技術解説書で示しているため、「結果未着」や「中止」のステータスでデータ登録されることは想定していない。
一方、Statusが「registered(結果未着)/cancelled(中止)」の場合であってもデータ登録は可能であり、臨床情報一覧の感染症情報に項目として表示される仕様となっている。
■目的
患者サマリーの臨床情報一覧には、閲覧者にとって意味を成す、必要な情報だけが表示できるようにする。</t>
    <phoneticPr fontId="2"/>
  </si>
  <si>
    <t>■要求事項
機能：患者サマリーの出力機能
内容：患者サマリーの臨床情報閲覧機能(XML・PDF帳票・マイナポータル)で、
・感染症のObservationのstatusがresisterd/cancelledの場合、感染症検査項目単位で情報出力を行わないように制御する。
・検査のObservationのstatusがresisterdの場合、検査項目単位で情報出力を行わないように制御する。
■備考
ワーニングは不要。</t>
    <rPh sb="9" eb="11">
      <t>カンジャ</t>
    </rPh>
    <phoneticPr fontId="2"/>
  </si>
  <si>
    <t>患者サマリーの出力機能</t>
    <phoneticPr fontId="2"/>
  </si>
  <si>
    <t>患者サマリーの臨床情報閲覧機能(XML・PDF帳票・マイナポータル)で検査のObservationのstatusがresisterdの場合、検査項目単位で情報出力を行わないように制御する。
■備考
ワーニングは不要。</t>
    <phoneticPr fontId="2"/>
  </si>
  <si>
    <t>e</t>
  </si>
  <si>
    <t>122</t>
    <phoneticPr fontId="2"/>
  </si>
  <si>
    <t>122_01</t>
    <phoneticPr fontId="2"/>
  </si>
  <si>
    <t>検査情報のstatusが「registered(結果未着)」の場合にデータ出力しない制御(患者サマリー)</t>
    <rPh sb="0" eb="2">
      <t>ケンサ</t>
    </rPh>
    <rPh sb="2" eb="4">
      <t>ジョウホウ</t>
    </rPh>
    <rPh sb="31" eb="33">
      <t>バアイ</t>
    </rPh>
    <rPh sb="37" eb="39">
      <t>シュツリョク</t>
    </rPh>
    <rPh sb="42" eb="44">
      <t>セイギョ</t>
    </rPh>
    <phoneticPr fontId="3"/>
  </si>
  <si>
    <t>患者サマリーの検査情報のstatusが「registered(結果未着)」の場合にデータ出力しない制御を追加する</t>
    <phoneticPr fontId="2"/>
  </si>
  <si>
    <t>■起票背景
・患者サマリーの検査情報については、ステータスが「preliminary(暫定結果報告)」のみ「中間」として出力されると技術解説書に示しているが、「registered(結果未着)」のステータスであっても「中間」として出力される仕様となっている。
■目的
患者サマリーの臨床情報一覧には、閲覧者にとって意味を成す、必要な情報だけが表示できるようにする。</t>
    <phoneticPr fontId="2"/>
  </si>
  <si>
    <t>■要求事項
機能：患者サマリーの出力機能
内容：患者サマリーの臨床情報閲覧機能(XML・PDF帳票・マイナポータル)で、検査のObservationのstatusがresisterdの場合、検査項目単位で情報出力を行わないように制御する。
■備考
ワーニングは不要。</t>
    <phoneticPr fontId="2"/>
  </si>
  <si>
    <t>患者サマリーの臨床情報閲覧機能(XML・PDF帳票・マイナポータル)で、検査のObservationのstatusがresisterdの場合、検査項目単位で情報出力を行わないように制御する。
■備考
ワーニングは不要。</t>
    <phoneticPr fontId="2"/>
  </si>
  <si>
    <t>123</t>
    <phoneticPr fontId="2"/>
  </si>
  <si>
    <t>123_01</t>
    <phoneticPr fontId="2"/>
  </si>
  <si>
    <t>検査・感染症の定性値コードの入力パターンによる制御</t>
    <phoneticPr fontId="3"/>
  </si>
  <si>
    <t>検査・感染症の定性値コードの入力パターンによる制御を追加する</t>
    <rPh sb="26" eb="28">
      <t>ツイカ</t>
    </rPh>
    <phoneticPr fontId="2"/>
  </si>
  <si>
    <t>■起票背景
電子カルテ情報共有サービス対応JLACコード表(共有項目JLACコードマスタ)中に、「1:陽性 2:陰性」のいずれかで結果を登録するように記載のある検査項目であっても、「3:判定保留」を利用できるとONS共有会にて基金より共有いただいた。
■目的
技術解説書で規定していない結果コードで登録した場合、照会先医療機関が表示しない可能性がある</t>
    <phoneticPr fontId="2"/>
  </si>
  <si>
    <t>検査・感染症の定性値コードが照会先で正しく表示される</t>
    <rPh sb="0" eb="2">
      <t>ケンサ</t>
    </rPh>
    <rPh sb="3" eb="6">
      <t>カンセンショウ</t>
    </rPh>
    <rPh sb="7" eb="9">
      <t>テイセイ</t>
    </rPh>
    <rPh sb="9" eb="10">
      <t>アタイ</t>
    </rPh>
    <rPh sb="14" eb="16">
      <t>ショウカイ</t>
    </rPh>
    <rPh sb="16" eb="17">
      <t>サキ</t>
    </rPh>
    <rPh sb="18" eb="19">
      <t>タダ</t>
    </rPh>
    <rPh sb="21" eb="23">
      <t>ヒョウジ</t>
    </rPh>
    <phoneticPr fontId="2"/>
  </si>
  <si>
    <r>
      <t xml:space="preserve">■要求事項
</t>
    </r>
    <r>
      <rPr>
        <strike/>
        <sz val="10"/>
        <color rgb="FFFF0000"/>
        <rFont val="Meiryo UI"/>
        <family val="3"/>
        <charset val="128"/>
      </rPr>
      <t xml:space="preserve">機能：アドオンチェック機能
内容：電子カルテ情報共有サービス対応JLACコード表(共有項目JLACコードマスタ)に含まれる定性値コードのうち、「コード型の場合の値リスト」に記載の結果コード以外で登録した場合はエラーで返却する。
</t>
    </r>
    <r>
      <rPr>
        <sz val="10"/>
        <color rgb="FFFF0000"/>
        <rFont val="Meiryo UI"/>
        <family val="3"/>
        <charset val="128"/>
      </rPr>
      <t xml:space="preserve">
機能：臨床情報閲覧機能(医療機関向けPDF帳票・XML・マイナポータルPDF・XML、患者サマリー)
内容：臨床情報閲覧機能(医療機関向けPDF帳票・XML・マイナポータルPDF・XML)で電子カルテ情報共有サービス対応JLACコード表(共有項目JLACコードマスタ)の「コード型の場合の値リスト」で指定した結果コードのみ出力できるようにする。
■備考
・FHIR記述仕様に沿っている場合は、電子カルテ情報共有サービス対応JLACコード表(共有項目JLACコードマスタ)で指定していない結果コードも本サービスに登録は可能。
（「コード型の場合の値リスト」が「1：－、2：±、3：＋、4：2＋、5：3＋、6：4＋」と指定されているが「7：5＋」もシステム上登録できてしまう検査項目があるが、当該検査項目については、検査機器・試薬の仕様で上限４＋までしか結果が発生しえないことをJLACセンターに確認済）
（「コード型の場合の値リスト」が「1：陽性、2：陰性」と指定されているが「3：判定保留」もシステム上登録できてしまう検査項目があるが、表示はしないため問題ない。）</t>
    </r>
    <phoneticPr fontId="2"/>
  </si>
  <si>
    <t>電子カルテ情報共有サービス対応JLACコード表(共有項目JLACコードマスタ)に関わらず、
CLINS定義のコードシステム（URL）に記載の定義で登録可能。</t>
    <rPh sb="40" eb="41">
      <t>カカ</t>
    </rPh>
    <rPh sb="67" eb="69">
      <t>キサイ</t>
    </rPh>
    <rPh sb="70" eb="72">
      <t>テイギ</t>
    </rPh>
    <rPh sb="73" eb="75">
      <t>トウロク</t>
    </rPh>
    <rPh sb="75" eb="77">
      <t>カノウ</t>
    </rPh>
    <phoneticPr fontId="2"/>
  </si>
  <si>
    <t>臨床情報閲覧機能(医療機関向けPDF帳票・XML・マイナポータルPDF・XML)</t>
    <phoneticPr fontId="2"/>
  </si>
  <si>
    <t>臨床情報閲覧機能(医療機関向けPDF帳票・XML・マイナポータルPDF・XML、患者サマリー)で電子カルテ情報共有サービス対応JLACコード表(共有項目JLACコードマスタ)で指定した結果コードのみ出力できるようにする。
■備考
・FHIR記述仕様に沿っている場合は、電子カルテ情報共有サービス対応JLACコード表(共有項目JLACコードマスタ)で指定していない結果コードも本サービスに登録は可能。
（「コード型の場合の値リスト」が「1：－、2：±、3：＋、4：2＋、5：3＋、6：4＋」と指定されているが「7：5＋」もシステム上登録できてしまう検査項目があるが、当該検査項目については、検査機器・試薬の仕様で上限４＋までしか結果が発生しえないことをJLACセンターに確認済）
（「コード型の場合の値リスト」が「1：陽性、2：陰性」と指定されているが「3：判定保留」もシステム上登録できてしまう検査項目があるが、表示はしないため問題ない。）</t>
    <rPh sb="99" eb="101">
      <t>シュツリョク</t>
    </rPh>
    <rPh sb="188" eb="189">
      <t>ホン</t>
    </rPh>
    <rPh sb="197" eb="199">
      <t>カノウ</t>
    </rPh>
    <rPh sb="283" eb="289">
      <t>トウガイケンサコウモク</t>
    </rPh>
    <rPh sb="314" eb="316">
      <t>ケッカ</t>
    </rPh>
    <phoneticPr fontId="2"/>
  </si>
  <si>
    <t>124</t>
    <phoneticPr fontId="2"/>
  </si>
  <si>
    <t>124_01</t>
    <phoneticPr fontId="2"/>
  </si>
  <si>
    <t>臨床情報(傷病名)</t>
    <rPh sb="5" eb="8">
      <t>ショウビョウメイ</t>
    </rPh>
    <phoneticPr fontId="2"/>
  </si>
  <si>
    <t>自施設が登録した「未提供フラグ」付き傷病名の非表示</t>
    <phoneticPr fontId="3"/>
  </si>
  <si>
    <t>未提供フラグが設定された傷病名は、自院が未提供フラグを設定した場合も含め、表示しない</t>
    <rPh sb="17" eb="19">
      <t>ジイン</t>
    </rPh>
    <rPh sb="20" eb="23">
      <t>ミテイキョウ</t>
    </rPh>
    <rPh sb="27" eb="29">
      <t>セッテイ</t>
    </rPh>
    <rPh sb="31" eb="33">
      <t>バアイ</t>
    </rPh>
    <rPh sb="34" eb="35">
      <t>フク</t>
    </rPh>
    <rPh sb="37" eb="39">
      <t>ヒョウジ</t>
    </rPh>
    <phoneticPr fontId="2"/>
  </si>
  <si>
    <t>■起票背景
ONSにてシステムベンダから以下のような指摘があった。
・自院で臨床情報閲覧要求（CIP-IF-001）を行った場合、自院からアップロードした傷病名の未提供と提供の区別がないため、未提供の病名が本当に他医院や患者に伝わっていないか医師が不安になる
・他医院と自医院の病名を並べて経緯を確認したい中で、自院のみで大量に発生する疑い病名や特に共有する必要もないであろう病名(レセプト病名)で埋め尽くされ、本当に比較したい病名が後ろの方に行き一目で確認することが難しくなる
■目的
レセプト病名や疑い病名等の未提供フラグを自院で設定した傷病名の表示を除き、連携することを想定して入力された傷病名を確認しやすくするため</t>
    <phoneticPr fontId="2"/>
  </si>
  <si>
    <t>レセプト病名や疑い病名等の未提供フラグを自院で設定した傷病名の表示を除き、連携することを想定して入力された傷病名を確認しやすくなる</t>
    <rPh sb="4" eb="6">
      <t>ビョウメイ</t>
    </rPh>
    <rPh sb="7" eb="8">
      <t>ウタガ</t>
    </rPh>
    <rPh sb="9" eb="11">
      <t>ビョウメイ</t>
    </rPh>
    <rPh sb="11" eb="12">
      <t>トウ</t>
    </rPh>
    <rPh sb="13" eb="14">
      <t>ミ</t>
    </rPh>
    <rPh sb="14" eb="16">
      <t>テイキョウ</t>
    </rPh>
    <rPh sb="20" eb="22">
      <t>ジイン</t>
    </rPh>
    <rPh sb="23" eb="25">
      <t>セッテイ</t>
    </rPh>
    <rPh sb="27" eb="29">
      <t>ショウビョウ</t>
    </rPh>
    <rPh sb="29" eb="30">
      <t>メイ</t>
    </rPh>
    <rPh sb="31" eb="33">
      <t>ヒョウジ</t>
    </rPh>
    <rPh sb="34" eb="35">
      <t>ノゾ</t>
    </rPh>
    <rPh sb="37" eb="39">
      <t>レンケイ</t>
    </rPh>
    <rPh sb="44" eb="46">
      <t>ソウテイ</t>
    </rPh>
    <rPh sb="48" eb="50">
      <t>ニュウリョク</t>
    </rPh>
    <rPh sb="53" eb="55">
      <t>ショウビョウ</t>
    </rPh>
    <rPh sb="55" eb="56">
      <t>メイ</t>
    </rPh>
    <rPh sb="57" eb="59">
      <t>カクニン</t>
    </rPh>
    <phoneticPr fontId="2"/>
  </si>
  <si>
    <t>■要求事項
機能：臨床情報の閲覧
内容：未提供フラグの設定された傷病名について、未提供フラグを設定した自院も含めたすべての医療機関で閲覧できないようにする。</t>
    <rPh sb="9" eb="11">
      <t>リンショウ</t>
    </rPh>
    <rPh sb="11" eb="13">
      <t>ジョウホウ</t>
    </rPh>
    <rPh sb="14" eb="16">
      <t>エツラン</t>
    </rPh>
    <rPh sb="20" eb="23">
      <t>ミテイキョウ</t>
    </rPh>
    <rPh sb="27" eb="29">
      <t>セッテイ</t>
    </rPh>
    <rPh sb="32" eb="34">
      <t>ショウビョウ</t>
    </rPh>
    <rPh sb="34" eb="35">
      <t>メイ</t>
    </rPh>
    <rPh sb="40" eb="43">
      <t>ミテイキョウ</t>
    </rPh>
    <rPh sb="47" eb="49">
      <t>セッテイ</t>
    </rPh>
    <rPh sb="51" eb="53">
      <t>ジイン</t>
    </rPh>
    <rPh sb="54" eb="55">
      <t>フク</t>
    </rPh>
    <rPh sb="61" eb="63">
      <t>イリョウ</t>
    </rPh>
    <rPh sb="63" eb="65">
      <t>キカン</t>
    </rPh>
    <rPh sb="66" eb="68">
      <t>エツラン</t>
    </rPh>
    <phoneticPr fontId="2"/>
  </si>
  <si>
    <t>「未提供フラグを設定した傷病名については、当該傷病名を登録した医療機関が臨床情報閲覧要求で閲覧する場合、結果のPDF/XMLには表示される」</t>
    <phoneticPr fontId="2"/>
  </si>
  <si>
    <t>臨床情報閲覧機能</t>
  </si>
  <si>
    <t>未提供フラグの設定された傷病名について、未提供フラグを設定した自院も含めたすべての医療機関で閲覧できないようにする。</t>
    <phoneticPr fontId="2"/>
  </si>
  <si>
    <t>125</t>
    <phoneticPr fontId="2"/>
  </si>
  <si>
    <t>125_01</t>
    <phoneticPr fontId="2"/>
  </si>
  <si>
    <t>自己情報提供不可フラグ・不開示該当フラグの患者における文書情報の登録・閲覧対応</t>
    <phoneticPr fontId="2"/>
  </si>
  <si>
    <t>自己情報提供不可フラグ・不開示該当フラグの患者において、文書情報の登録および取得ができないようにする</t>
    <rPh sb="0" eb="2">
      <t>ジコ</t>
    </rPh>
    <rPh sb="2" eb="4">
      <t>ジョウホウ</t>
    </rPh>
    <rPh sb="4" eb="6">
      <t>テイキョウ</t>
    </rPh>
    <rPh sb="6" eb="8">
      <t>フカ</t>
    </rPh>
    <rPh sb="28" eb="30">
      <t>ブンショ</t>
    </rPh>
    <rPh sb="30" eb="32">
      <t>ジョウホウ</t>
    </rPh>
    <rPh sb="33" eb="35">
      <t>トウロク</t>
    </rPh>
    <rPh sb="38" eb="40">
      <t>シュトク</t>
    </rPh>
    <phoneticPr fontId="2"/>
  </si>
  <si>
    <t>■起票背景
加害者あるいは加害者の知人が紹介先医療機関で働いているケースにおいて、被害者が上記の医療機関に紹介される場合に、電子カルテ情報共有サービスを使って診療情報提供書と退院時サマリーを送付すると、紹介先医療機関にいる加害者あるいは加害者の友人に被害者の住所情報が知られてしまうリスクがある。
保険局より本件について照会があり、起票。
■目的
自己情報提供不可フラグ・不開示該当フラグがある患者が電子カルテ情報共有サービスの文書情報を利用しようとした場合、文書情報を登録・閲覧できないような仕様とする。</t>
    <rPh sb="228" eb="230">
      <t>バアイ</t>
    </rPh>
    <rPh sb="231" eb="233">
      <t>ブンショ</t>
    </rPh>
    <rPh sb="233" eb="235">
      <t>ジョウホウ</t>
    </rPh>
    <rPh sb="236" eb="238">
      <t>トウロク</t>
    </rPh>
    <rPh sb="239" eb="241">
      <t>エツラン</t>
    </rPh>
    <rPh sb="248" eb="250">
      <t>シヨウ</t>
    </rPh>
    <phoneticPr fontId="2"/>
  </si>
  <si>
    <t>・不開示該当フラグがある患者が電子カルテ情報共有サービスの文書情報を利用しようとした場合、文書情報に住所・郵便番号が記載されているため、住所情報が加害者の知人が務める医療機関に伝わってしまうリスクが防げる
・自己情報提供不可フラグ・不開示該当フラグを設定された患者の文書情報を登録しようとした場合、照会先医療機関に連携されないことが登録時点で判明する。</t>
    <rPh sb="99" eb="100">
      <t>フセ</t>
    </rPh>
    <rPh sb="110" eb="112">
      <t>フカ</t>
    </rPh>
    <rPh sb="116" eb="119">
      <t>フカイジ</t>
    </rPh>
    <rPh sb="119" eb="121">
      <t>ガイトウ</t>
    </rPh>
    <rPh sb="125" eb="127">
      <t>セッテイ</t>
    </rPh>
    <rPh sb="130" eb="132">
      <t>カンジャ</t>
    </rPh>
    <rPh sb="133" eb="137">
      <t>ブンショジョウホウ</t>
    </rPh>
    <rPh sb="138" eb="140">
      <t>トウロク</t>
    </rPh>
    <rPh sb="146" eb="148">
      <t>バアイ</t>
    </rPh>
    <rPh sb="149" eb="151">
      <t>ショウカイ</t>
    </rPh>
    <rPh sb="151" eb="152">
      <t>サキ</t>
    </rPh>
    <rPh sb="152" eb="154">
      <t>イリョウ</t>
    </rPh>
    <rPh sb="154" eb="156">
      <t>キカン</t>
    </rPh>
    <rPh sb="157" eb="159">
      <t>レンケイ</t>
    </rPh>
    <rPh sb="166" eb="168">
      <t>トウロク</t>
    </rPh>
    <rPh sb="168" eb="169">
      <t>ジ</t>
    </rPh>
    <rPh sb="169" eb="170">
      <t>テン</t>
    </rPh>
    <rPh sb="171" eb="173">
      <t>ハンメイ</t>
    </rPh>
    <phoneticPr fontId="2"/>
  </si>
  <si>
    <t>保険局：エラーメッセージの方向性確認中</t>
    <rPh sb="0" eb="3">
      <t>ホケンキョク</t>
    </rPh>
    <rPh sb="13" eb="19">
      <t>ホウコウセイカクニンチュウ</t>
    </rPh>
    <phoneticPr fontId="2"/>
  </si>
  <si>
    <t>文書送受信</t>
    <rPh sb="0" eb="2">
      <t>ブンショ</t>
    </rPh>
    <rPh sb="2" eb="5">
      <t>ソウジュシン</t>
    </rPh>
    <phoneticPr fontId="2"/>
  </si>
  <si>
    <t>■要求事項１
・機能：文書登録機能
・内容：自己情報提供不可フラグ・不開示該当フラグのある患者について、文書登録を行った場合は、エラーを返却する
■要求事項２
・機能：文書取得機能
・内容：自己情報提供不可フラグ・不開示該当フラグのある患者について、文書取得を行おうとした場合は、エラーを返却する
※現在エラーとなる「自己情報提供不可フラグ」のある患者の文書情報を取得しようとした際に、返却するエラーメッセージも修正する可能性あり。
■要求事項3
・機能：文書変更機能
・内容：自己情報提供不可フラグ・不開示該当フラグのある患者について、文書変更を行った場合は、エラーを返却する
■要求事項４
・機能：文書削除機能
・内容：自己情報提供不可フラグ・不開示該当フラグのある患者について、文書削除を行った場合は、エラーを返却する
■備考
・エラーのメッセージの詳細は別途検討</t>
    <phoneticPr fontId="2"/>
  </si>
  <si>
    <t>・不開示該当フラグがある患者が電子カルテ情報共有サービスの文書情報を利用した場合、文書情報に住所・郵便番号が記載されているため、住所情報が加害者の知人が務める医療機関に伝わってしまう可能性がある。
・自己情報提供不可フラグ・不開示該当フラグを設定された患者について、紹介先医療機関は文書情報を取得できないが、紹介元医療機関は文書情報を登録できてしまう。</t>
    <rPh sb="154" eb="156">
      <t>ショウカイ</t>
    </rPh>
    <rPh sb="156" eb="157">
      <t>モト</t>
    </rPh>
    <rPh sb="157" eb="159">
      <t>イリョウ</t>
    </rPh>
    <rPh sb="159" eb="161">
      <t>キカン</t>
    </rPh>
    <phoneticPr fontId="2"/>
  </si>
  <si>
    <t>文書登録機能</t>
    <phoneticPr fontId="2"/>
  </si>
  <si>
    <t>自己情報提供不可フラグ・不開示該当フラグのある患者について、文書登録を行った場合は、エラーを返却する。
※返却するエラーメッセージについては別途検討。</t>
    <rPh sb="70" eb="74">
      <t>ベットケントウ</t>
    </rPh>
    <phoneticPr fontId="2"/>
  </si>
  <si>
    <t>125_02</t>
    <phoneticPr fontId="2"/>
  </si>
  <si>
    <t>自己情報提供不可フラグ・不開示該当フラグの患者における文書情報の登録・閲覧対応</t>
    <rPh sb="0" eb="2">
      <t>ジコ</t>
    </rPh>
    <rPh sb="2" eb="4">
      <t>ジョウホウ</t>
    </rPh>
    <rPh sb="4" eb="6">
      <t>テイキョウ</t>
    </rPh>
    <rPh sb="6" eb="8">
      <t>フカ</t>
    </rPh>
    <rPh sb="27" eb="29">
      <t>ブンショ</t>
    </rPh>
    <rPh sb="29" eb="31">
      <t>ジョウホウ</t>
    </rPh>
    <rPh sb="32" eb="34">
      <t>トウロク</t>
    </rPh>
    <rPh sb="35" eb="37">
      <t>エツラン</t>
    </rPh>
    <rPh sb="37" eb="39">
      <t>タイオウ</t>
    </rPh>
    <phoneticPr fontId="2"/>
  </si>
  <si>
    <t>保険局：エラーメッセージの方向性確認中</t>
    <rPh sb="0" eb="2">
      <t>ホケン</t>
    </rPh>
    <rPh sb="2" eb="3">
      <t>キョク</t>
    </rPh>
    <rPh sb="13" eb="16">
      <t>ホウコウセイ</t>
    </rPh>
    <rPh sb="16" eb="18">
      <t>カクニン</t>
    </rPh>
    <rPh sb="18" eb="19">
      <t>チュウ</t>
    </rPh>
    <phoneticPr fontId="2"/>
  </si>
  <si>
    <t>■要求事項１
・機能：文書登録機能
・内容：自己情報提供不可フラグ・不開示該当フラグのある患者について、文書登録を行った場合は、エラーを返却する
■要求事項２
・機能：文書取得機能
・内容：自己情報提供不可フラグ・不開示該当フラグのある患者について、文書取得を行おうとした場合は、エラーを返却する
※現在エラーとなる「自己情報提供不可フラグ」のある患者の文書情報を取得しようとした際に、返却するエラーメッセージも修正する可能性あり。
■要求事項3
・機能：文書変更機能
・内容：自己情報提供不可フラグ・不開示該当フラグのある患者について、文書変更を行った場合は、エラーを返却する
■要求事項４
・機能：文書削除機能
・内容：自己情報提供不可フラグ・不開示該当フラグのある患者について、文書削除を行った場合は、エラーを返却する
■備考
・エラーのメッセージの詳細は別途検討</t>
  </si>
  <si>
    <t>文書取得機能</t>
    <phoneticPr fontId="2"/>
  </si>
  <si>
    <t>自己情報提供不可フラグ・不開示該当フラグのある患者について、文書取得を行おうとした場合は、エラーを返却する
※返却するエラーメッセージについては別途検討。
※現在エラーとなる「自己情報提供不可フラグ」のある患者の文書情報を取得しようとした際に、返却するエラーメッセージも修正する可能性あり。</t>
    <phoneticPr fontId="2"/>
  </si>
  <si>
    <t>125_03</t>
  </si>
  <si>
    <t>■要求事項１
・機能：文書登録機能
・内容：自己情報提供不可フラグ・不開示該当フラグのある患者について、文書登録を行った場合は、エラーを返却する
■要求事項２
・機能：文書取得機能
・内容：自己情報提供不可フラグ・不開示該当フラグのある患者について、文書取得を行おうとした場合は、エラーを返却する
※現在エラーとなる「自己情報提供不可フラグ」のある患者の文書情報を取得しようとした際に、返却するエラーメッセージも修正する可能性あり。
■要求事項3
・機能：文書変更機能
・内容：自己情報提供不可フラグ・不開示該当フラグのある患者について、文書変更を行った場合は、エラーを返却する
■要求事項４
・機能：文書削除機能
・内容：自己情報提供不可フラグ・不開示該当フラグのある患者について、文書削除を行った場合は、エラーを返却する
■備考
・エラーのメッセージの詳細は別途検討</t>
    <rPh sb="8" eb="10">
      <t>キノウ</t>
    </rPh>
    <rPh sb="11" eb="13">
      <t>ブンショ</t>
    </rPh>
    <rPh sb="13" eb="15">
      <t>トウロク</t>
    </rPh>
    <rPh sb="15" eb="17">
      <t>キノウ</t>
    </rPh>
    <rPh sb="19" eb="21">
      <t>ナイヨウ</t>
    </rPh>
    <rPh sb="57" eb="58">
      <t>オコナ</t>
    </rPh>
    <rPh sb="60" eb="62">
      <t>バアイ</t>
    </rPh>
    <rPh sb="68" eb="70">
      <t>ヘンキャク</t>
    </rPh>
    <rPh sb="85" eb="87">
      <t>ブンショ</t>
    </rPh>
    <rPh sb="87" eb="89">
      <t>シュトク</t>
    </rPh>
    <rPh sb="89" eb="91">
      <t>キノウ</t>
    </rPh>
    <rPh sb="128" eb="130">
      <t>シュトク</t>
    </rPh>
    <rPh sb="151" eb="153">
      <t>ゲンザイ</t>
    </rPh>
    <rPh sb="175" eb="177">
      <t>カンジャ</t>
    </rPh>
    <rPh sb="178" eb="180">
      <t>ブンショ</t>
    </rPh>
    <rPh sb="180" eb="182">
      <t>ジョウホウ</t>
    </rPh>
    <rPh sb="183" eb="185">
      <t>シュトク</t>
    </rPh>
    <rPh sb="191" eb="192">
      <t>サイ</t>
    </rPh>
    <rPh sb="194" eb="196">
      <t>ヘンキャク</t>
    </rPh>
    <rPh sb="207" eb="209">
      <t>シュウセイ</t>
    </rPh>
    <rPh sb="211" eb="214">
      <t>カノウセイ</t>
    </rPh>
    <rPh sb="382" eb="384">
      <t>ショウサイ</t>
    </rPh>
    <rPh sb="385" eb="387">
      <t>ベット</t>
    </rPh>
    <rPh sb="387" eb="389">
      <t>ケントウ</t>
    </rPh>
    <phoneticPr fontId="2"/>
  </si>
  <si>
    <t>文書変更機能</t>
    <rPh sb="0" eb="2">
      <t>ブンショ</t>
    </rPh>
    <rPh sb="2" eb="4">
      <t>ヘンコウ</t>
    </rPh>
    <rPh sb="4" eb="6">
      <t>キノウ</t>
    </rPh>
    <phoneticPr fontId="2"/>
  </si>
  <si>
    <t>自己情報提供不可フラグ・不開示該当フラグのある患者について、文書変更を行った場合は、エラーを返却する
※返却するエラーメッセージについては別途検討。
※現在エラーとなる「自己情報提供不可フラグ」のある患者の文書情報を取得しようとした際に、返却するエラーメッセージも修正する可能性あり。</t>
    <phoneticPr fontId="2"/>
  </si>
  <si>
    <t>2025/9/1※要件取り下げ</t>
    <rPh sb="9" eb="11">
      <t>ヨウケン</t>
    </rPh>
    <rPh sb="11" eb="12">
      <t>ト</t>
    </rPh>
    <rPh sb="13" eb="14">
      <t>サ</t>
    </rPh>
    <phoneticPr fontId="2"/>
  </si>
  <si>
    <t>125_04</t>
  </si>
  <si>
    <t xml:space="preserve">取り下げ理由：
取り下げを行えばそもそも紹介先医療機関で取得リクエストは発生しないため、取り下げとなった。
（9/1開発課題検討会）
</t>
    <rPh sb="5" eb="7">
      <t>カイハツ</t>
    </rPh>
    <phoneticPr fontId="2"/>
  </si>
  <si>
    <t>文書削除機能</t>
    <phoneticPr fontId="2"/>
  </si>
  <si>
    <t>自己情報提供不可フラグ・不開示該当フラグのある患者について、文書削除を行った場合は、エラーを返却する
※返却するエラーメッセージについては別途検討。
※現在エラーとなる「自己情報提供不可フラグ」のある患者の文書情報を取得しようとした際に、返却するエラーメッセージも修正する可能性あり。</t>
    <phoneticPr fontId="2"/>
  </si>
  <si>
    <t>126</t>
    <phoneticPr fontId="2"/>
  </si>
  <si>
    <t>126_01</t>
    <phoneticPr fontId="2"/>
  </si>
  <si>
    <t>修飾語マスタへ更新日付等のカラム追加</t>
    <phoneticPr fontId="2"/>
  </si>
  <si>
    <t>修飾語マスタに「更新日付」「移行先修飾語番号」のカラムを追加する</t>
    <rPh sb="0" eb="3">
      <t>シュウショクゴ</t>
    </rPh>
    <rPh sb="8" eb="10">
      <t>コウシン</t>
    </rPh>
    <rPh sb="10" eb="12">
      <t>ヒヅケ</t>
    </rPh>
    <rPh sb="17" eb="20">
      <t>シュウショクゴ</t>
    </rPh>
    <rPh sb="28" eb="30">
      <t>ツイカ</t>
    </rPh>
    <phoneticPr fontId="2"/>
  </si>
  <si>
    <t>■起票背景
MEDISより、修飾語マスタについて更新する場合や、移行先が存在する場合についてどのように歴管理を行うのか指摘を受領した。
■目的
・「更新日付」を追加することにより、マスタの更新日が分かるようにし、医療機関システムへの反映の負荷を軽減させる。
・「移行先修飾語番号」を追加することにより、修飾語の移行先が分かるようにする。</t>
    <rPh sb="1" eb="5">
      <t>キヒョウハイケイ</t>
    </rPh>
    <rPh sb="14" eb="17">
      <t>シュウショクゴ</t>
    </rPh>
    <rPh sb="28" eb="30">
      <t>バアイ</t>
    </rPh>
    <rPh sb="51" eb="52">
      <t>レキ</t>
    </rPh>
    <rPh sb="52" eb="54">
      <t>カンリ</t>
    </rPh>
    <rPh sb="55" eb="56">
      <t>オコナ</t>
    </rPh>
    <rPh sb="59" eb="61">
      <t>シテキ</t>
    </rPh>
    <rPh sb="62" eb="64">
      <t>ジュリョウ</t>
    </rPh>
    <rPh sb="82" eb="86">
      <t>ヘンコウクブン</t>
    </rPh>
    <rPh sb="88" eb="90">
      <t>ツイカ</t>
    </rPh>
    <rPh sb="97" eb="98">
      <t>ビ</t>
    </rPh>
    <rPh sb="106" eb="107">
      <t>ワ</t>
    </rPh>
    <rPh sb="114" eb="118">
      <t>イリョウキカン</t>
    </rPh>
    <rPh sb="124" eb="126">
      <t>ハンエイ</t>
    </rPh>
    <rPh sb="127" eb="129">
      <t>フカ</t>
    </rPh>
    <rPh sb="142" eb="144">
      <t>ツイカ</t>
    </rPh>
    <rPh sb="152" eb="155">
      <t>シュウショクゴ</t>
    </rPh>
    <rPh sb="156" eb="158">
      <t>イコウ</t>
    </rPh>
    <rPh sb="158" eb="159">
      <t>サキ</t>
    </rPh>
    <rPh sb="160" eb="161">
      <t>ワケイゲン</t>
    </rPh>
    <phoneticPr fontId="2"/>
  </si>
  <si>
    <t>MEDIS：委託契約調整中</t>
    <rPh sb="6" eb="10">
      <t>イタクケイヤク</t>
    </rPh>
    <rPh sb="10" eb="13">
      <t>チョウセイチュウ</t>
    </rPh>
    <phoneticPr fontId="2"/>
  </si>
  <si>
    <t>■要求事項
・機能：標準マスタ管理・提供機能
・内容：修飾語マスタのカラムへ「更新日付」「移行先修飾語番号」を追加した各種マスタを取り込み、管理、提供できるようにする。</t>
    <rPh sb="27" eb="30">
      <t>シュウショクゴ</t>
    </rPh>
    <rPh sb="39" eb="41">
      <t>コウシン</t>
    </rPh>
    <rPh sb="41" eb="43">
      <t>ヒヅケ</t>
    </rPh>
    <phoneticPr fontId="2"/>
  </si>
  <si>
    <t>修飾語マスタのカラムに「更新日付」「移行先修飾語番号」がない</t>
    <rPh sb="12" eb="14">
      <t>コウシン</t>
    </rPh>
    <phoneticPr fontId="2"/>
  </si>
  <si>
    <t>修飾語マスタのカラムへ「更新日付」「移行先修飾語番号」を追加した各種マスタを取り込み、管理、提供できるようにする。</t>
    <rPh sb="12" eb="14">
      <t>コウシン</t>
    </rPh>
    <phoneticPr fontId="2"/>
  </si>
  <si>
    <t>修飾語マスタ</t>
    <rPh sb="0" eb="3">
      <t>シュウショクゴ</t>
    </rPh>
    <phoneticPr fontId="2"/>
  </si>
  <si>
    <t>2025/8/26
※案件取り下げ</t>
    <rPh sb="11" eb="13">
      <t>アンケン</t>
    </rPh>
    <rPh sb="13" eb="14">
      <t>ト</t>
    </rPh>
    <rPh sb="15" eb="16">
      <t>サ</t>
    </rPh>
    <phoneticPr fontId="2"/>
  </si>
  <si>
    <t>127</t>
    <phoneticPr fontId="2"/>
  </si>
  <si>
    <t>127_01</t>
    <phoneticPr fontId="2"/>
  </si>
  <si>
    <t>傷病名マスタ(標準病名履歴マスタ、修飾語マスタ)の文字コード変換機能の追</t>
    <rPh sb="0" eb="2">
      <t>ショウビョウ</t>
    </rPh>
    <rPh sb="2" eb="3">
      <t>メイ</t>
    </rPh>
    <rPh sb="30" eb="32">
      <t>ヘンカン</t>
    </rPh>
    <rPh sb="32" eb="34">
      <t>キノウ</t>
    </rPh>
    <rPh sb="35" eb="36">
      <t>ツイ</t>
    </rPh>
    <phoneticPr fontId="2"/>
  </si>
  <si>
    <t>傷病名マスタ(標準病名履歴マスタ、修飾語マスタ)の文字コード変換対応</t>
    <rPh sb="0" eb="2">
      <t>ショウビョウ</t>
    </rPh>
    <rPh sb="2" eb="3">
      <t>メイ</t>
    </rPh>
    <rPh sb="30" eb="32">
      <t>ヘンカン</t>
    </rPh>
    <phoneticPr fontId="2"/>
  </si>
  <si>
    <t>■起票背景
MEDISより、傷病名マスタ(標準病名履歴マスタ、修飾語マスタ)について、SJISでの公開とし、公開時にUTF-8に変換できるような、注釈をつける旨を受領した。
■目的
他マスタと平仄を合わせ、UTF-8で中央基盤に取り込み・医療機関等システムベンダへ公開するために、傷病名マスタ(標準病名履歴マスタ、修飾語マスタ)の文字コードをUTF-8に変換する</t>
    <rPh sb="1" eb="5">
      <t>キヒョウハイケイ</t>
    </rPh>
    <rPh sb="49" eb="51">
      <t>コウカイ</t>
    </rPh>
    <rPh sb="54" eb="56">
      <t>コウカイ</t>
    </rPh>
    <rPh sb="56" eb="57">
      <t>ジ</t>
    </rPh>
    <rPh sb="64" eb="66">
      <t>ヘンカン</t>
    </rPh>
    <rPh sb="73" eb="75">
      <t>チュウシャク</t>
    </rPh>
    <rPh sb="79" eb="80">
      <t>ムネ</t>
    </rPh>
    <rPh sb="81" eb="83">
      <t>ジュリョウ</t>
    </rPh>
    <rPh sb="92" eb="93">
      <t>ホカ</t>
    </rPh>
    <rPh sb="97" eb="99">
      <t>ヒョウソク</t>
    </rPh>
    <rPh sb="100" eb="101">
      <t>ア</t>
    </rPh>
    <rPh sb="110" eb="114">
      <t>チュウオウキバン</t>
    </rPh>
    <rPh sb="115" eb="116">
      <t>ト</t>
    </rPh>
    <rPh sb="117" eb="118">
      <t>コ</t>
    </rPh>
    <rPh sb="120" eb="122">
      <t>イリョウ</t>
    </rPh>
    <rPh sb="122" eb="124">
      <t>キカン</t>
    </rPh>
    <rPh sb="124" eb="125">
      <t>トウ</t>
    </rPh>
    <rPh sb="133" eb="135">
      <t>コウカイ</t>
    </rPh>
    <rPh sb="166" eb="168">
      <t>モジ</t>
    </rPh>
    <rPh sb="178" eb="180">
      <t>ヘンカン</t>
    </rPh>
    <phoneticPr fontId="2"/>
  </si>
  <si>
    <t xml:space="preserve">取り下げ理由：
MEDISにて来年度以降対応頂けることとなったため、恒久的にUTF8への変換を基金で実施する必要がなくなったため。
（8/25開発課題検討会）
</t>
    <rPh sb="0" eb="1">
      <t>ト</t>
    </rPh>
    <rPh sb="2" eb="3">
      <t>サ</t>
    </rPh>
    <rPh sb="4" eb="6">
      <t>リユウ</t>
    </rPh>
    <rPh sb="15" eb="18">
      <t>ライネンド</t>
    </rPh>
    <rPh sb="18" eb="20">
      <t>イコウ</t>
    </rPh>
    <rPh sb="20" eb="22">
      <t>タイオウ</t>
    </rPh>
    <rPh sb="22" eb="23">
      <t>イタダ</t>
    </rPh>
    <rPh sb="34" eb="36">
      <t>コウキュウ</t>
    </rPh>
    <rPh sb="36" eb="37">
      <t>テキ</t>
    </rPh>
    <rPh sb="44" eb="46">
      <t>ヘンカン</t>
    </rPh>
    <rPh sb="47" eb="49">
      <t>キキン</t>
    </rPh>
    <rPh sb="50" eb="52">
      <t>ジッシ</t>
    </rPh>
    <rPh sb="54" eb="56">
      <t>ヒツヨウ</t>
    </rPh>
    <rPh sb="71" eb="73">
      <t>カイハツ</t>
    </rPh>
    <rPh sb="73" eb="75">
      <t>カダイ</t>
    </rPh>
    <rPh sb="75" eb="77">
      <t>ケントウ</t>
    </rPh>
    <rPh sb="77" eb="78">
      <t>カイ</t>
    </rPh>
    <phoneticPr fontId="2"/>
  </si>
  <si>
    <t>文字コードの変換</t>
    <rPh sb="0" eb="2">
      <t>モジ</t>
    </rPh>
    <rPh sb="6" eb="8">
      <t>ヘンカン</t>
    </rPh>
    <phoneticPr fontId="2"/>
  </si>
  <si>
    <t>■要求事項
・機能：標準マスタ文字コードの変換
・内容：傷病名マスタ(標準病名履歴マスタ、修飾語マスタ)をS-JISからUTF-8に変換する</t>
    <rPh sb="10" eb="12">
      <t>ヒョウジュン</t>
    </rPh>
    <rPh sb="15" eb="17">
      <t>モジ</t>
    </rPh>
    <rPh sb="21" eb="23">
      <t>ヘンカン</t>
    </rPh>
    <rPh sb="66" eb="68">
      <t>ヘンカン</t>
    </rPh>
    <phoneticPr fontId="2"/>
  </si>
  <si>
    <t>標準マスタ文字コードの変換</t>
    <rPh sb="0" eb="2">
      <t>ヒョウジュン</t>
    </rPh>
    <rPh sb="5" eb="7">
      <t>モジ</t>
    </rPh>
    <rPh sb="11" eb="13">
      <t>ヘンカン</t>
    </rPh>
    <phoneticPr fontId="2"/>
  </si>
  <si>
    <t>傷病名マスタ(標準病名履歴マスタ、修飾語マスタ)をS-JISからUTF-8に変換する</t>
    <phoneticPr fontId="2"/>
  </si>
  <si>
    <t>2025/9/9
※案件取り下げ</t>
    <rPh sb="10" eb="12">
      <t>アンケン</t>
    </rPh>
    <rPh sb="12" eb="13">
      <t>ト</t>
    </rPh>
    <rPh sb="14" eb="15">
      <t>サ</t>
    </rPh>
    <phoneticPr fontId="2"/>
  </si>
  <si>
    <t>128</t>
    <phoneticPr fontId="2"/>
  </si>
  <si>
    <t>128_01</t>
    <phoneticPr fontId="2"/>
  </si>
  <si>
    <t>Terminologyの基盤への効率的な取り込み実現のための運用改善に係る機能改修</t>
    <phoneticPr fontId="2"/>
  </si>
  <si>
    <t>■起票背景
大江先生と調整し以下の方針でTerminologyを更新することで合意した。Terminologyの取り込み対応をより効率的に実現するために必要に応じた機能改修を想定している。
&lt;方針&gt;
毎月15日ごろにJPFHIR　Terminologyへの取り込み対象マスタを大江先生に厚労省から通知し、１営業日程度でTerminologyに反映いただく
■目的
電子カルテ情報共有サービス基盤への継続的なTerminology取込により、タイムリーなTerminologyの更新を実装する。</t>
  </si>
  <si>
    <t>Terminologyの基盤への効率的な取り込みについては、既に最適化されているため案件として不要であることが分かったため取り下げる
（2025/9/8開発課題検討会）</t>
    <rPh sb="76" eb="78">
      <t>カイハツ</t>
    </rPh>
    <rPh sb="78" eb="83">
      <t>カダイケントウカイ</t>
    </rPh>
    <phoneticPr fontId="2"/>
  </si>
  <si>
    <t>129</t>
    <phoneticPr fontId="2"/>
  </si>
  <si>
    <t>129_0</t>
    <phoneticPr fontId="2"/>
  </si>
  <si>
    <t>健診項目マスタの加工・csv変換の機能化</t>
    <rPh sb="0" eb="2">
      <t>ケンシン</t>
    </rPh>
    <rPh sb="2" eb="4">
      <t>コウモク</t>
    </rPh>
    <rPh sb="8" eb="10">
      <t>カコウ</t>
    </rPh>
    <rPh sb="14" eb="16">
      <t>ヘンカン</t>
    </rPh>
    <rPh sb="17" eb="19">
      <t>キノウ</t>
    </rPh>
    <rPh sb="19" eb="20">
      <t>カ</t>
    </rPh>
    <phoneticPr fontId="2"/>
  </si>
  <si>
    <t>基金にて加工・CSVに変換したのち、開発事業者へ展開している健診項目マスタについて、CSV変換機能を実装する</t>
    <rPh sb="0" eb="2">
      <t>キキン</t>
    </rPh>
    <rPh sb="4" eb="6">
      <t>カコウ</t>
    </rPh>
    <rPh sb="11" eb="13">
      <t>ヘンカン</t>
    </rPh>
    <rPh sb="18" eb="23">
      <t>カイハツジギョウシャ</t>
    </rPh>
    <rPh sb="24" eb="26">
      <t>テンカイ</t>
    </rPh>
    <rPh sb="30" eb="32">
      <t>ケンシン</t>
    </rPh>
    <rPh sb="32" eb="34">
      <t>コウモク</t>
    </rPh>
    <rPh sb="45" eb="47">
      <t>ヘンカン</t>
    </rPh>
    <rPh sb="47" eb="49">
      <t>キノウ</t>
    </rPh>
    <rPh sb="50" eb="52">
      <t>ジッソウ</t>
    </rPh>
    <phoneticPr fontId="2"/>
  </si>
  <si>
    <t>■起票背景
健診項目マスタに関して、厚労省HPに公開されているのはExcelファイルであるが、基金にて列削除、列結合、固定値列追加等の編集を行いCSV変換して、開発事業者に展開している。
■目的
マスタ変換の機能化により作業ミスによるマスタ不備を回避する</t>
    <rPh sb="6" eb="8">
      <t>ケンシン</t>
    </rPh>
    <rPh sb="8" eb="10">
      <t>コウモク</t>
    </rPh>
    <rPh sb="14" eb="15">
      <t>カン</t>
    </rPh>
    <rPh sb="18" eb="21">
      <t>コウロウショウ</t>
    </rPh>
    <rPh sb="24" eb="26">
      <t>コウカイ</t>
    </rPh>
    <rPh sb="47" eb="49">
      <t>キキン</t>
    </rPh>
    <rPh sb="51" eb="54">
      <t>レツサクジョ</t>
    </rPh>
    <rPh sb="55" eb="58">
      <t>レツケツゴウ</t>
    </rPh>
    <rPh sb="59" eb="61">
      <t>コテイ</t>
    </rPh>
    <rPh sb="61" eb="62">
      <t>アタイ</t>
    </rPh>
    <rPh sb="62" eb="63">
      <t>レツ</t>
    </rPh>
    <rPh sb="63" eb="65">
      <t>ツイカ</t>
    </rPh>
    <rPh sb="65" eb="66">
      <t>トウ</t>
    </rPh>
    <rPh sb="67" eb="69">
      <t>ヘンシュウ</t>
    </rPh>
    <rPh sb="70" eb="71">
      <t>オコナ</t>
    </rPh>
    <rPh sb="75" eb="77">
      <t>ヘンカン</t>
    </rPh>
    <rPh sb="80" eb="82">
      <t>カイハツ</t>
    </rPh>
    <rPh sb="82" eb="85">
      <t>ジギョウシャ</t>
    </rPh>
    <rPh sb="86" eb="88">
      <t>テンカイ</t>
    </rPh>
    <phoneticPr fontId="2"/>
  </si>
  <si>
    <t>マスタのエラーは誤った健診結果が登録されることによる、誤った治療方針などの判断に繋がり国民の健康を大きく害す可能性がある。それを未然に防ぐマスタの自動取込は国民の健康への寄与度が大きい。
また、病院事務においてもマスタに間違いがあった際の確認業務などの工数を減らすことができ、業務負荷低減につながる。</t>
    <rPh sb="8" eb="9">
      <t>アヤマ</t>
    </rPh>
    <rPh sb="11" eb="15">
      <t>ケンシンケッカ</t>
    </rPh>
    <rPh sb="16" eb="18">
      <t>トウロク</t>
    </rPh>
    <rPh sb="27" eb="28">
      <t>アヤマ</t>
    </rPh>
    <rPh sb="30" eb="34">
      <t>チリョウホウシン</t>
    </rPh>
    <rPh sb="37" eb="39">
      <t>ハンダン</t>
    </rPh>
    <rPh sb="40" eb="41">
      <t>ツナ</t>
    </rPh>
    <rPh sb="43" eb="45">
      <t>コクミン</t>
    </rPh>
    <rPh sb="46" eb="48">
      <t>ケンコウ</t>
    </rPh>
    <rPh sb="49" eb="50">
      <t>オオ</t>
    </rPh>
    <rPh sb="52" eb="53">
      <t>ガイ</t>
    </rPh>
    <rPh sb="54" eb="57">
      <t>カノウセイ</t>
    </rPh>
    <rPh sb="64" eb="66">
      <t>ミゼン</t>
    </rPh>
    <rPh sb="67" eb="68">
      <t>フセ</t>
    </rPh>
    <rPh sb="73" eb="77">
      <t>ジドウトリコミ</t>
    </rPh>
    <rPh sb="78" eb="80">
      <t>コクミン</t>
    </rPh>
    <rPh sb="81" eb="83">
      <t>ケンコウ</t>
    </rPh>
    <rPh sb="85" eb="88">
      <t>キヨド</t>
    </rPh>
    <rPh sb="89" eb="90">
      <t>オオ</t>
    </rPh>
    <rPh sb="97" eb="99">
      <t>ビョウイン</t>
    </rPh>
    <rPh sb="99" eb="101">
      <t>ジム</t>
    </rPh>
    <rPh sb="110" eb="112">
      <t>マチガ</t>
    </rPh>
    <rPh sb="117" eb="118">
      <t>サイ</t>
    </rPh>
    <rPh sb="119" eb="121">
      <t>カクニン</t>
    </rPh>
    <rPh sb="121" eb="123">
      <t>ギョウム</t>
    </rPh>
    <rPh sb="126" eb="128">
      <t>コウスウ</t>
    </rPh>
    <rPh sb="129" eb="130">
      <t>ヘ</t>
    </rPh>
    <rPh sb="138" eb="142">
      <t>ギョウムフカ</t>
    </rPh>
    <rPh sb="142" eb="144">
      <t>テイゲン</t>
    </rPh>
    <phoneticPr fontId="2"/>
  </si>
  <si>
    <t>健診項目マスタの加工・CSV変換</t>
    <rPh sb="0" eb="2">
      <t>ケンシン</t>
    </rPh>
    <rPh sb="2" eb="4">
      <t>コウモク</t>
    </rPh>
    <rPh sb="8" eb="10">
      <t>カコウ</t>
    </rPh>
    <rPh sb="14" eb="16">
      <t>ヘンカン</t>
    </rPh>
    <phoneticPr fontId="2"/>
  </si>
  <si>
    <t>■要求事項
・機能：健診項目マスタの加工・CSV変換
・内容：現在、基金にて厚労省HPに公開されている健診項目マスタ（Excel）を加工・CSV変換して開発事業者に提供している。基金にて実施している加工・CSV変換を機能化する。
・対象マスタ：健診項目マスタ</t>
    <rPh sb="31" eb="33">
      <t>ゲンザイ</t>
    </rPh>
    <rPh sb="34" eb="36">
      <t>キキン</t>
    </rPh>
    <rPh sb="38" eb="41">
      <t>コウロウショウ</t>
    </rPh>
    <rPh sb="44" eb="46">
      <t>コウカイ</t>
    </rPh>
    <rPh sb="51" eb="53">
      <t>ケンシン</t>
    </rPh>
    <rPh sb="53" eb="55">
      <t>コウモク</t>
    </rPh>
    <rPh sb="66" eb="68">
      <t>カコウ</t>
    </rPh>
    <rPh sb="72" eb="74">
      <t>ヘンカン</t>
    </rPh>
    <rPh sb="76" eb="78">
      <t>カイハツ</t>
    </rPh>
    <rPh sb="78" eb="81">
      <t>ジギョウシャ</t>
    </rPh>
    <rPh sb="82" eb="84">
      <t>テイキョウ</t>
    </rPh>
    <rPh sb="89" eb="91">
      <t>キキン</t>
    </rPh>
    <rPh sb="93" eb="95">
      <t>ジッシ</t>
    </rPh>
    <rPh sb="99" eb="101">
      <t>カコウ</t>
    </rPh>
    <rPh sb="105" eb="107">
      <t>ヘンカン</t>
    </rPh>
    <rPh sb="108" eb="111">
      <t>キノウカ</t>
    </rPh>
    <rPh sb="116" eb="118">
      <t>タイショウ</t>
    </rPh>
    <rPh sb="122" eb="124">
      <t>ケンシン</t>
    </rPh>
    <rPh sb="124" eb="126">
      <t>コウモク</t>
    </rPh>
    <phoneticPr fontId="2"/>
  </si>
  <si>
    <t>130</t>
    <phoneticPr fontId="2"/>
  </si>
  <si>
    <t>130_0</t>
    <phoneticPr fontId="2"/>
  </si>
  <si>
    <t>1つの処方情報に対する「補足指示コード」・「調剤指示コード」の複数記載の許容</t>
    <rPh sb="3" eb="5">
      <t>ショホウ</t>
    </rPh>
    <rPh sb="5" eb="7">
      <t>ジョウホウ</t>
    </rPh>
    <rPh sb="8" eb="9">
      <t>タイ</t>
    </rPh>
    <rPh sb="12" eb="14">
      <t>ホソク</t>
    </rPh>
    <rPh sb="14" eb="16">
      <t>シジ</t>
    </rPh>
    <rPh sb="22" eb="26">
      <t>チョウザイシジ</t>
    </rPh>
    <rPh sb="31" eb="33">
      <t>フクスウ</t>
    </rPh>
    <rPh sb="33" eb="35">
      <t>キサイ</t>
    </rPh>
    <rPh sb="36" eb="38">
      <t>キョヨウ</t>
    </rPh>
    <phoneticPr fontId="2"/>
  </si>
  <si>
    <t>処方情報において、1つの処方情報に対して複数の「補足指示コード」・「調剤指示」の複数記載の許容処方情報の「補足指示コード」・「調剤指示」を記録できるようにする（「アドオンチェックルール不変#170,171」の削除）</t>
    <rPh sb="0" eb="2">
      <t>ショホウ</t>
    </rPh>
    <rPh sb="2" eb="4">
      <t>ジョウホウ</t>
    </rPh>
    <rPh sb="12" eb="14">
      <t>ショホウ</t>
    </rPh>
    <rPh sb="14" eb="16">
      <t>ジョウホウ</t>
    </rPh>
    <rPh sb="17" eb="18">
      <t>タイ</t>
    </rPh>
    <rPh sb="20" eb="22">
      <t>フクスウ</t>
    </rPh>
    <rPh sb="24" eb="26">
      <t>ホソク</t>
    </rPh>
    <rPh sb="26" eb="28">
      <t>シジ</t>
    </rPh>
    <rPh sb="34" eb="36">
      <t>チョウザイ</t>
    </rPh>
    <rPh sb="36" eb="38">
      <t>シジ</t>
    </rPh>
    <rPh sb="40" eb="42">
      <t>フクスウ</t>
    </rPh>
    <rPh sb="42" eb="44">
      <t>キサイ</t>
    </rPh>
    <rPh sb="45" eb="47">
      <t>キョヨウ</t>
    </rPh>
    <rPh sb="47" eb="49">
      <t>ショホウ</t>
    </rPh>
    <rPh sb="49" eb="51">
      <t>ジョウホウ</t>
    </rPh>
    <rPh sb="53" eb="55">
      <t>ホソク</t>
    </rPh>
    <rPh sb="55" eb="57">
      <t>シジ</t>
    </rPh>
    <rPh sb="63" eb="65">
      <t>チョウザイ</t>
    </rPh>
    <rPh sb="65" eb="67">
      <t>シジ</t>
    </rPh>
    <rPh sb="69" eb="71">
      <t>キロク</t>
    </rPh>
    <phoneticPr fontId="2"/>
  </si>
  <si>
    <t xml:space="preserve">■起票背景
1つの処方情報に対して複数の「補足指示コード」・「調剤指示」の複数記載の許容処方情報の「補足指示コード」・「調剤指示」を記録するケースがあるのにもかかわらず、仕様不備で複数コード記録するとエラーになるアドオンチェックが実装されている。
■目的
処方情報において、1つの処方情報に対して複数の「補足指示コード」・「調剤指示」の複数記載の許容処方情報の「補足指示コード」・「調剤指示」を記録できるようにする
</t>
    <phoneticPr fontId="2"/>
  </si>
  <si>
    <t>患者の容態に合わせた柔軟な処方の記述が可能となる。</t>
    <rPh sb="0" eb="2">
      <t>カンジャ</t>
    </rPh>
    <rPh sb="3" eb="5">
      <t>ヨウダイ</t>
    </rPh>
    <rPh sb="6" eb="7">
      <t>ア</t>
    </rPh>
    <rPh sb="10" eb="12">
      <t>ジュウナン</t>
    </rPh>
    <rPh sb="13" eb="15">
      <t>ショホウ</t>
    </rPh>
    <rPh sb="16" eb="18">
      <t>キジュツ</t>
    </rPh>
    <rPh sb="19" eb="21">
      <t>カノウ</t>
    </rPh>
    <phoneticPr fontId="2"/>
  </si>
  <si>
    <t>■要求事項
既存のアドオンチェック「1つのcodeableConceptにcodingが複数存在するとき、同一のsystem値が複数存在する場合エラーとする。」、「1つのcodeableConceptにcodingが複数存在するとき、同一のsystem値が複数存在する場合エラーとする。」の削除を行い、調剤指示・補足指示の複数記入を許容する。
（「アドオンチェックルール不変#170,171」の削除）
対象：MedicationRequestリソース　処方依頼情報  dosageInstruction.additionalInstruction.coding.system (#170)
MedicationRequestリソース　処方依頼情報 dispenseRequest.extension.valueCodeableConcept.coding.system(#171)</t>
    <rPh sb="6" eb="8">
      <t>キソン</t>
    </rPh>
    <rPh sb="145" eb="147">
      <t>サクジョ</t>
    </rPh>
    <rPh sb="148" eb="149">
      <t>オコナ</t>
    </rPh>
    <rPh sb="202" eb="204">
      <t>タイショウ</t>
    </rPh>
    <phoneticPr fontId="2"/>
  </si>
  <si>
    <t>複数種類の調剤指示・補足指示を記載することができない。</t>
    <rPh sb="0" eb="2">
      <t>フクスウ</t>
    </rPh>
    <rPh sb="2" eb="4">
      <t>シュルイ</t>
    </rPh>
    <rPh sb="5" eb="9">
      <t>チョウザイシジ</t>
    </rPh>
    <rPh sb="10" eb="14">
      <t>ホソクシジ</t>
    </rPh>
    <rPh sb="15" eb="17">
      <t>キサイ</t>
    </rPh>
    <phoneticPr fontId="2"/>
  </si>
  <si>
    <t>131</t>
    <phoneticPr fontId="2"/>
  </si>
  <si>
    <t>131_01</t>
    <phoneticPr fontId="2"/>
  </si>
  <si>
    <t>廃止した医療機関が登録した長期保存フラグのついた情報の取り扱い(患者サマリ)</t>
    <rPh sb="0" eb="2">
      <t>ハイシ</t>
    </rPh>
    <rPh sb="4" eb="6">
      <t>イリョウ</t>
    </rPh>
    <rPh sb="6" eb="8">
      <t>キカン</t>
    </rPh>
    <rPh sb="9" eb="11">
      <t>トウロク</t>
    </rPh>
    <rPh sb="13" eb="15">
      <t>チョウキ</t>
    </rPh>
    <rPh sb="15" eb="17">
      <t>ホゾン</t>
    </rPh>
    <rPh sb="24" eb="26">
      <t>ジョウホウ</t>
    </rPh>
    <rPh sb="27" eb="28">
      <t>ト</t>
    </rPh>
    <rPh sb="29" eb="30">
      <t>アツカ</t>
    </rPh>
    <rPh sb="32" eb="34">
      <t>カンジャ</t>
    </rPh>
    <phoneticPr fontId="3"/>
  </si>
  <si>
    <t>廃止した医療機関が登録した長期保存フラグのついた情報の取り扱うための機能を追加する（患者サマリ）</t>
    <rPh sb="0" eb="2">
      <t>ハイシ</t>
    </rPh>
    <rPh sb="4" eb="8">
      <t>イリョウキカン</t>
    </rPh>
    <rPh sb="9" eb="11">
      <t>トウロク</t>
    </rPh>
    <rPh sb="13" eb="17">
      <t>チョウキホゾン</t>
    </rPh>
    <rPh sb="24" eb="26">
      <t>ジョウホウ</t>
    </rPh>
    <rPh sb="27" eb="28">
      <t>ト</t>
    </rPh>
    <rPh sb="29" eb="30">
      <t>アツカ</t>
    </rPh>
    <rPh sb="34" eb="36">
      <t>キノウ</t>
    </rPh>
    <rPh sb="37" eb="39">
      <t>ツイカ</t>
    </rPh>
    <rPh sb="42" eb="44">
      <t>カンジャ</t>
    </rPh>
    <phoneticPr fontId="3"/>
  </si>
  <si>
    <t>医療機関が廃止したことによって状況のアップデートがされないことに起因する閲覧者の誤認を未然に防ぐことができる</t>
  </si>
  <si>
    <t>来年度以降の開発想定であるが、来年度以降の予算検討のために見積もりをしていただきたく、新規起票</t>
    <rPh sb="0" eb="3">
      <t>ライネンド</t>
    </rPh>
    <rPh sb="3" eb="5">
      <t>イコウ</t>
    </rPh>
    <rPh sb="6" eb="8">
      <t>カイハツ</t>
    </rPh>
    <rPh sb="8" eb="10">
      <t>ソウテイ</t>
    </rPh>
    <rPh sb="15" eb="20">
      <t>ライネンドイコウ</t>
    </rPh>
    <rPh sb="21" eb="23">
      <t>ヨサン</t>
    </rPh>
    <rPh sb="23" eb="25">
      <t>ケントウ</t>
    </rPh>
    <rPh sb="29" eb="31">
      <t>ミツ</t>
    </rPh>
    <rPh sb="43" eb="45">
      <t>シンキ</t>
    </rPh>
    <rPh sb="45" eb="47">
      <t>キヒョウ</t>
    </rPh>
    <phoneticPr fontId="2"/>
  </si>
  <si>
    <t>患者サマリの閲覧</t>
    <rPh sb="0" eb="2">
      <t>カンジャ</t>
    </rPh>
    <rPh sb="6" eb="8">
      <t>エツラン</t>
    </rPh>
    <phoneticPr fontId="2"/>
  </si>
  <si>
    <t>■要求事項１
機能：患者サマリ出力機能
内容：オンライン資格確認の医療機関等マスタで廃止年月日がついた医療機関の名称を「【廃】○○病院」と頭にタグをつけて表示する。
■備考
患者サマリについては来年度以降の実装を検討しているが、見積もりを行っていただきたく、令和8年3月案件として起票
➡３月リリースで実施する他の患者サマリ改修案件と合わせたほうが費用がかさまないことから、３月案件とすることで確定。（2025/8/18開発課題検討会）</t>
    <rPh sb="10" eb="12">
      <t>カンジャ</t>
    </rPh>
    <rPh sb="15" eb="17">
      <t>シュツリョク</t>
    </rPh>
    <rPh sb="88" eb="90">
      <t>カンジャ</t>
    </rPh>
    <rPh sb="98" eb="101">
      <t>ライネンド</t>
    </rPh>
    <rPh sb="101" eb="103">
      <t>イコウ</t>
    </rPh>
    <rPh sb="104" eb="106">
      <t>ジッソウ</t>
    </rPh>
    <rPh sb="107" eb="109">
      <t>ケントウ</t>
    </rPh>
    <rPh sb="115" eb="117">
      <t>ミツ</t>
    </rPh>
    <rPh sb="120" eb="121">
      <t>オコナ</t>
    </rPh>
    <rPh sb="130" eb="132">
      <t>レイワ</t>
    </rPh>
    <rPh sb="146" eb="147">
      <t>ガツ</t>
    </rPh>
    <rPh sb="152" eb="154">
      <t>ジッシ</t>
    </rPh>
    <rPh sb="156" eb="157">
      <t>ホカ</t>
    </rPh>
    <rPh sb="158" eb="160">
      <t>カンジャ</t>
    </rPh>
    <rPh sb="163" eb="167">
      <t>カイシュウアンケン</t>
    </rPh>
    <rPh sb="168" eb="169">
      <t>ア</t>
    </rPh>
    <rPh sb="175" eb="177">
      <t>ヒヨウ</t>
    </rPh>
    <rPh sb="189" eb="192">
      <t>ガツアンケン</t>
    </rPh>
    <rPh sb="198" eb="200">
      <t>カクテイ</t>
    </rPh>
    <rPh sb="211" eb="218">
      <t>カイハツカダイケントウカイ</t>
    </rPh>
    <phoneticPr fontId="2"/>
  </si>
  <si>
    <t>廃止した医療機関が過去に登録した情報について、明らかな疑義や情報のアップデートがあっても更新がされないため、正しい情報が把握できず、患者にとって不利益を被る可能性がある。</t>
  </si>
  <si>
    <t>起票中</t>
    <rPh sb="0" eb="2">
      <t>キヒョウ</t>
    </rPh>
    <rPh sb="2" eb="3">
      <t>チュウ</t>
    </rPh>
    <phoneticPr fontId="2"/>
  </si>
  <si>
    <t>患者サマリ出力機能</t>
    <rPh sb="0" eb="2">
      <t>カンジャ</t>
    </rPh>
    <rPh sb="5" eb="7">
      <t>シュツリョク</t>
    </rPh>
    <rPh sb="7" eb="9">
      <t>キノウ</t>
    </rPh>
    <phoneticPr fontId="2"/>
  </si>
  <si>
    <r>
      <t>■要求事項１
機能：患者サマリ</t>
    </r>
    <r>
      <rPr>
        <sz val="11"/>
        <color rgb="FFFF0000"/>
        <rFont val="Meiryo UI"/>
        <family val="3"/>
        <charset val="128"/>
      </rPr>
      <t>出力機能
内容：オンライン資格確認の医療機関等マスタで廃止年月日</t>
    </r>
    <r>
      <rPr>
        <vertAlign val="superscript"/>
        <sz val="10"/>
        <color rgb="FFFF0000"/>
        <rFont val="Meiryo UI"/>
        <family val="3"/>
        <charset val="128"/>
      </rPr>
      <t>※1,2</t>
    </r>
    <r>
      <rPr>
        <sz val="10"/>
        <color rgb="FFFF0000"/>
        <rFont val="Meiryo UI"/>
        <family val="3"/>
        <charset val="128"/>
      </rPr>
      <t xml:space="preserve">がついた医療機関の名称を「【廃】○○病院」と頭にタグをつけて表示する。
※1：将来年月日で廃止年月日が記録されている場合は、当該廃止年月日以降に医療機関の名称を「【廃】○○病院」と頭にタグをつけて表示
※2：継承申請を行った医療機関は、廃止年月日が入力されていても【廃】をつけない。
</t>
    </r>
    <r>
      <rPr>
        <strike/>
        <sz val="10"/>
        <color rgb="FFFF0000"/>
        <rFont val="Meiryo UI"/>
        <family val="3"/>
        <charset val="128"/>
      </rPr>
      <t xml:space="preserve">
</t>
    </r>
    <r>
      <rPr>
        <sz val="10"/>
        <color rgb="FFFF0000"/>
        <rFont val="Meiryo UI"/>
        <family val="3"/>
        <charset val="128"/>
      </rPr>
      <t>■備考
患者サマリについては来年度以降の実装を検討しているが、見積もりを行っていただきたく、令和8年3月案件として起票</t>
    </r>
    <r>
      <rPr>
        <sz val="11"/>
        <color rgb="FFFF0000"/>
        <rFont val="Meiryo UI"/>
        <family val="3"/>
      </rPr>
      <t xml:space="preserve">
➡３月リリースで実施する他の患者サマリ改修案件と合わせたほうが費用がかさまないことから、３月案件とすることで確定。（2025/8/18開発課題検討会）</t>
    </r>
    <rPh sb="10" eb="12">
      <t>カンジャ</t>
    </rPh>
    <rPh sb="109" eb="111">
      <t>バアイ</t>
    </rPh>
    <rPh sb="149" eb="151">
      <t>ヒョウジ</t>
    </rPh>
    <rPh sb="155" eb="157">
      <t>ケイショウ</t>
    </rPh>
    <rPh sb="157" eb="159">
      <t>シンセイ</t>
    </rPh>
    <rPh sb="160" eb="161">
      <t>オコナ</t>
    </rPh>
    <rPh sb="163" eb="165">
      <t>イリョウ</t>
    </rPh>
    <rPh sb="165" eb="167">
      <t>キカン</t>
    </rPh>
    <rPh sb="169" eb="174">
      <t>ハイシネンガッピ</t>
    </rPh>
    <rPh sb="175" eb="177">
      <t>ニュウリョク</t>
    </rPh>
    <rPh sb="184" eb="185">
      <t>ハイ</t>
    </rPh>
    <phoneticPr fontId="2"/>
  </si>
  <si>
    <t>患者サマリのPDF帳票</t>
    <rPh sb="0" eb="2">
      <t>カンジャ</t>
    </rPh>
    <phoneticPr fontId="2"/>
  </si>
  <si>
    <t>132</t>
  </si>
  <si>
    <t>132_01</t>
    <phoneticPr fontId="2"/>
  </si>
  <si>
    <t>「保険証」廃止に伴う、「保険証」の名称変更</t>
    <rPh sb="1" eb="4">
      <t>ホケンショウ</t>
    </rPh>
    <rPh sb="5" eb="7">
      <t>ハイシ</t>
    </rPh>
    <rPh sb="8" eb="9">
      <t>トモナ</t>
    </rPh>
    <rPh sb="12" eb="15">
      <t>ホケンショウ</t>
    </rPh>
    <rPh sb="17" eb="19">
      <t>メイショウ</t>
    </rPh>
    <rPh sb="19" eb="21">
      <t>ヘンコウ</t>
    </rPh>
    <phoneticPr fontId="2"/>
  </si>
  <si>
    <t>令和7年12月2日に保険証が廃止されることに伴い、電子カルテ情報共有サービスにおいて「保険証」と表現されてる部分について文言修正を行う。</t>
    <rPh sb="0" eb="2">
      <t>レイワ</t>
    </rPh>
    <rPh sb="3" eb="4">
      <t>ネン</t>
    </rPh>
    <rPh sb="6" eb="7">
      <t>ガツ</t>
    </rPh>
    <rPh sb="8" eb="9">
      <t>ニチ</t>
    </rPh>
    <rPh sb="10" eb="13">
      <t>ホケンショウ</t>
    </rPh>
    <rPh sb="14" eb="16">
      <t>ハイシ</t>
    </rPh>
    <rPh sb="22" eb="23">
      <t>トモナ</t>
    </rPh>
    <rPh sb="25" eb="27">
      <t>デンシ</t>
    </rPh>
    <rPh sb="30" eb="34">
      <t>ジョウホウキョウユウ</t>
    </rPh>
    <rPh sb="43" eb="46">
      <t>ホケンショウ</t>
    </rPh>
    <rPh sb="48" eb="50">
      <t>ヒョウゲン</t>
    </rPh>
    <rPh sb="54" eb="56">
      <t>ブブン</t>
    </rPh>
    <rPh sb="60" eb="62">
      <t>モンゴン</t>
    </rPh>
    <rPh sb="62" eb="64">
      <t>シュウセイ</t>
    </rPh>
    <rPh sb="65" eb="66">
      <t>オコナ</t>
    </rPh>
    <phoneticPr fontId="2"/>
  </si>
  <si>
    <t>■起票背景
令和7年12月2日に保険証が廃止されるが、電子カルテ情報共有サービスにおいて「保険証」と表現されてる箇所がある。
■目的
保険証の利用が廃止されるため、制度と平仄を合わせる</t>
    <rPh sb="1" eb="3">
      <t>キヒョウ</t>
    </rPh>
    <rPh sb="3" eb="5">
      <t>ハイケイ</t>
    </rPh>
    <rPh sb="56" eb="58">
      <t>カショ</t>
    </rPh>
    <rPh sb="65" eb="67">
      <t>モクテキ</t>
    </rPh>
    <rPh sb="69" eb="72">
      <t>ホケンショウ</t>
    </rPh>
    <rPh sb="74" eb="76">
      <t>ヒョウゲン</t>
    </rPh>
    <rPh sb="81" eb="83">
      <t>カショ</t>
    </rPh>
    <phoneticPr fontId="2"/>
  </si>
  <si>
    <t>保険局：リリースタイミングを合わせられるように基金内部で確認中</t>
    <rPh sb="0" eb="2">
      <t>ホケン</t>
    </rPh>
    <rPh sb="2" eb="3">
      <t>キョク</t>
    </rPh>
    <rPh sb="14" eb="15">
      <t>ア</t>
    </rPh>
    <rPh sb="23" eb="25">
      <t>キキン</t>
    </rPh>
    <rPh sb="25" eb="27">
      <t>ナイブ</t>
    </rPh>
    <rPh sb="28" eb="31">
      <t>カクニンチュウ</t>
    </rPh>
    <phoneticPr fontId="2"/>
  </si>
  <si>
    <t>「保険証」で表現されている箇所がある</t>
    <rPh sb="1" eb="4">
      <t>ホケンショウ</t>
    </rPh>
    <rPh sb="6" eb="8">
      <t>ヒョウゲン</t>
    </rPh>
    <rPh sb="13" eb="15">
      <t>カショ</t>
    </rPh>
    <phoneticPr fontId="2"/>
  </si>
  <si>
    <t>133</t>
    <phoneticPr fontId="2"/>
  </si>
  <si>
    <t>133_0</t>
    <phoneticPr fontId="2"/>
  </si>
  <si>
    <t>患者サマリー「療養上の計画・アドバイス」入力時における文字数上限を検知するアドオンチェックの実装</t>
    <phoneticPr fontId="2"/>
  </si>
  <si>
    <t>患者サマリーにおける「療養上の計画・アドバイス」の入力の際に9,999文字を超えている場合に、エラーを返すアドオンチェックを実装する。</t>
    <rPh sb="0" eb="2">
      <t>カンジャ</t>
    </rPh>
    <rPh sb="11" eb="14">
      <t>リョウヨウジョウ</t>
    </rPh>
    <rPh sb="15" eb="17">
      <t>ケイカク</t>
    </rPh>
    <rPh sb="25" eb="27">
      <t>ニュウリョク</t>
    </rPh>
    <rPh sb="28" eb="29">
      <t>サイ</t>
    </rPh>
    <rPh sb="35" eb="37">
      <t>モジ</t>
    </rPh>
    <rPh sb="38" eb="39">
      <t>コ</t>
    </rPh>
    <rPh sb="43" eb="45">
      <t>バアイ</t>
    </rPh>
    <rPh sb="51" eb="52">
      <t>カエ</t>
    </rPh>
    <rPh sb="62" eb="64">
      <t>ジッソウ</t>
    </rPh>
    <phoneticPr fontId="2"/>
  </si>
  <si>
    <t>■起票背景
患者サマリーの「療養上の計画・アドバイス」では、技術解説書の記載の通り、文字数制限は9,999文字である。そのため、マイナポータルにおける患者サマリのPDF出力では、当該情報の出現文字数の上限は9,999文字が上限としている。
一方で、基盤システム(電子カルテ情報共有サービス)では、登録時の文字数上限（バリデーションチェック）を設けておらず、10,000文字以上の入力が可能である。
そのため、マイナポータルにおける患者サマリのPDF出力について、当該情報が10,000文字以上の場合、登録元医療機関への通知なく10,000文字目以降が出力されない仕様となっている。
■目的
技術解説書の要件（文字数制限）を無視した患者サマリーの登録を想定して、登録した「療養上の計画・アドバイス」が、出力時に一部欠損することを防ぐために、患者サマリーのの登録時のバリデーションチェックにて、「療養上の計画・アドバイス」の文字数が9,999文字を超える場合にエラーを返却する。
■参考：技術解説書の記載（患者サマリー登録・閲覧サービス編）p11 ⑦療養上の計画・アドバイスより引用
『なお、FHIR 記述仕様書上は、1MBまで記述することが可能ですが、本サービスにおいては、表示制約の観点から最大9,999字までとします。』</t>
    <phoneticPr fontId="2"/>
  </si>
  <si>
    <t xml:space="preserve">意図せずに療養上の計画・アドバイスが一部出力されないことによる、患者が必要な情報を得ることができない可能性を防ぐ。
</t>
    <rPh sb="0" eb="2">
      <t>イト</t>
    </rPh>
    <rPh sb="5" eb="8">
      <t>リョウヨウジョウ</t>
    </rPh>
    <rPh sb="9" eb="11">
      <t>ケイカク</t>
    </rPh>
    <rPh sb="18" eb="22">
      <t>イチブシュツリョク</t>
    </rPh>
    <rPh sb="32" eb="34">
      <t>カンジャ</t>
    </rPh>
    <rPh sb="35" eb="37">
      <t>ヒツヨウ</t>
    </rPh>
    <rPh sb="38" eb="40">
      <t>ジョウホウ</t>
    </rPh>
    <rPh sb="41" eb="42">
      <t>エ</t>
    </rPh>
    <rPh sb="50" eb="53">
      <t>カノウセイ</t>
    </rPh>
    <rPh sb="54" eb="55">
      <t>フセ</t>
    </rPh>
    <phoneticPr fontId="2"/>
  </si>
  <si>
    <t>技術解説書内に、9999文字を超えた場合は、超えた部分の出力が行われないことを記載する　ことにより対応することも検討。
プロファイルで対応いただくことになったため取り下げ。
（2025/9/1開発課題検討会）</t>
    <rPh sb="0" eb="2">
      <t>ギジュツ</t>
    </rPh>
    <rPh sb="2" eb="5">
      <t>カイセツショ</t>
    </rPh>
    <rPh sb="5" eb="6">
      <t>ナイ</t>
    </rPh>
    <rPh sb="12" eb="14">
      <t>モジ</t>
    </rPh>
    <rPh sb="15" eb="16">
      <t>コ</t>
    </rPh>
    <rPh sb="18" eb="20">
      <t>バアイ</t>
    </rPh>
    <rPh sb="22" eb="23">
      <t>コ</t>
    </rPh>
    <rPh sb="25" eb="27">
      <t>ブブン</t>
    </rPh>
    <rPh sb="28" eb="30">
      <t>シュツリョク</t>
    </rPh>
    <rPh sb="31" eb="32">
      <t>オコナ</t>
    </rPh>
    <rPh sb="39" eb="41">
      <t>キサイ</t>
    </rPh>
    <rPh sb="49" eb="51">
      <t>タイオウ</t>
    </rPh>
    <rPh sb="56" eb="58">
      <t>ケントウ</t>
    </rPh>
    <rPh sb="68" eb="70">
      <t>タイオウ</t>
    </rPh>
    <rPh sb="82" eb="83">
      <t>ト</t>
    </rPh>
    <rPh sb="84" eb="85">
      <t>サ</t>
    </rPh>
    <rPh sb="97" eb="101">
      <t>カイハツカダイ</t>
    </rPh>
    <rPh sb="101" eb="104">
      <t>ケントウカイ</t>
    </rPh>
    <phoneticPr fontId="2"/>
  </si>
  <si>
    <t>■要求事項
アドオンチェックに患者サマリーの「療養上の計画・アドバイス」欄が10,000文字以上入力されている場合にはエラーを返すチェック項目を実装する。</t>
    <rPh sb="15" eb="17">
      <t>カンジャ</t>
    </rPh>
    <rPh sb="23" eb="26">
      <t>リョウヨウジョウ</t>
    </rPh>
    <rPh sb="27" eb="29">
      <t>ケイカク</t>
    </rPh>
    <rPh sb="36" eb="37">
      <t>ラン</t>
    </rPh>
    <rPh sb="44" eb="46">
      <t>モジ</t>
    </rPh>
    <rPh sb="46" eb="48">
      <t>イジョウ</t>
    </rPh>
    <rPh sb="48" eb="50">
      <t>ニュウリョク</t>
    </rPh>
    <rPh sb="55" eb="57">
      <t>バアイ</t>
    </rPh>
    <rPh sb="63" eb="64">
      <t>カエ</t>
    </rPh>
    <rPh sb="69" eb="71">
      <t>コウモク</t>
    </rPh>
    <rPh sb="72" eb="74">
      <t>ジッソウ</t>
    </rPh>
    <phoneticPr fontId="2"/>
  </si>
  <si>
    <t>10,000文字以上の入力を受け付けてしまうが、出力されない。</t>
    <rPh sb="6" eb="8">
      <t>モジ</t>
    </rPh>
    <rPh sb="8" eb="10">
      <t>イジョウ</t>
    </rPh>
    <rPh sb="11" eb="13">
      <t>ニュウリョク</t>
    </rPh>
    <rPh sb="14" eb="15">
      <t>ウ</t>
    </rPh>
    <rPh sb="16" eb="17">
      <t>ツ</t>
    </rPh>
    <rPh sb="24" eb="26">
      <t>シュツリョク</t>
    </rPh>
    <phoneticPr fontId="2"/>
  </si>
  <si>
    <t>134</t>
    <phoneticPr fontId="2"/>
  </si>
  <si>
    <t>134_1</t>
    <phoneticPr fontId="2"/>
  </si>
  <si>
    <t>健診文書における「受診券情報に記録される個人識別子(被保番等)」と「健診実施日に有効な個人識別子(被保番等)」の一致チェック(「保険者以外が行うその他健診」は除く)</t>
    <rPh sb="0" eb="4">
      <t>ケンシンブンショ</t>
    </rPh>
    <rPh sb="9" eb="11">
      <t>ジュシン</t>
    </rPh>
    <rPh sb="11" eb="12">
      <t>ケン</t>
    </rPh>
    <rPh sb="12" eb="14">
      <t>ジョウホウ</t>
    </rPh>
    <rPh sb="15" eb="17">
      <t>キロク</t>
    </rPh>
    <rPh sb="20" eb="22">
      <t>コジン</t>
    </rPh>
    <rPh sb="22" eb="25">
      <t>シキベツシ</t>
    </rPh>
    <rPh sb="26" eb="27">
      <t>ヒ</t>
    </rPh>
    <rPh sb="27" eb="28">
      <t>ホ</t>
    </rPh>
    <rPh sb="28" eb="29">
      <t>バン</t>
    </rPh>
    <rPh sb="29" eb="30">
      <t>ナド</t>
    </rPh>
    <rPh sb="34" eb="36">
      <t>ケンシン</t>
    </rPh>
    <rPh sb="36" eb="38">
      <t>ジッシ</t>
    </rPh>
    <rPh sb="38" eb="39">
      <t>ビ</t>
    </rPh>
    <rPh sb="40" eb="42">
      <t>ユウコウ</t>
    </rPh>
    <rPh sb="43" eb="48">
      <t>コジンシキベツシ</t>
    </rPh>
    <rPh sb="49" eb="50">
      <t>ヒ</t>
    </rPh>
    <rPh sb="50" eb="51">
      <t>ホ</t>
    </rPh>
    <rPh sb="51" eb="52">
      <t>バン</t>
    </rPh>
    <rPh sb="52" eb="53">
      <t>ナド</t>
    </rPh>
    <rPh sb="56" eb="58">
      <t>イッチ</t>
    </rPh>
    <rPh sb="64" eb="67">
      <t>ホケンシャ</t>
    </rPh>
    <rPh sb="67" eb="69">
      <t>イガイ</t>
    </rPh>
    <rPh sb="70" eb="71">
      <t>オコナ</t>
    </rPh>
    <rPh sb="74" eb="75">
      <t>タ</t>
    </rPh>
    <rPh sb="75" eb="77">
      <t>ケンシン</t>
    </rPh>
    <rPh sb="79" eb="80">
      <t>ノゾ</t>
    </rPh>
    <phoneticPr fontId="2"/>
  </si>
  <si>
    <t>健診文書における「受診券情報に記録される個人識別子(被保番等)」と「健診実施日に有効な個人識別子(被保番等)」の一致チェック(「保険者以外が行うその他健診」は除く)を実装する。</t>
    <rPh sb="83" eb="85">
      <t>ジッソウ</t>
    </rPh>
    <phoneticPr fontId="2"/>
  </si>
  <si>
    <t>■起票背景
健診文書では個人識別子(被保番等)の振替(紐づけ)を行うが、その際に、振替先の個人識別子が正しいことを担保する必要がある。
■目的
健診文書が正しい保険者(健診を実施した保険者)に連携されるようにする。</t>
    <rPh sb="61" eb="63">
      <t>ヒツヨウ</t>
    </rPh>
    <rPh sb="73" eb="77">
      <t>ケンシンブンショ</t>
    </rPh>
    <rPh sb="78" eb="79">
      <t>タダ</t>
    </rPh>
    <rPh sb="81" eb="84">
      <t>ホケンシャ</t>
    </rPh>
    <rPh sb="85" eb="87">
      <t>ケンシン</t>
    </rPh>
    <rPh sb="88" eb="90">
      <t>ジッシ</t>
    </rPh>
    <rPh sb="92" eb="95">
      <t>ホケンシャ</t>
    </rPh>
    <rPh sb="97" eb="99">
      <t>レンケイ</t>
    </rPh>
    <phoneticPr fontId="2"/>
  </si>
  <si>
    <t>電子カルテ情報共有サービスにおける健診結果の取扱いに関して、「受診券情報」と「受信者情報」に記録される被保険者番号等（保険者番号を含む）の記録齟齬については、中央基盤におけるシステム対応（アドオンチェックの実装）ではなく、医療機関等（システムベンダを含む）側で対応いただく。
なお、医療機関等側での対応にあたっては、対応方針を技術解説書、保険者向け運用の手引き、医療機関等運用マニュアル等に明記し、周知を図る。
（8/29厚労省、支払基金(分析評価部含む)、国保中央会との臨時会議）</t>
    <rPh sb="211" eb="214">
      <t>コウロウショウ</t>
    </rPh>
    <rPh sb="215" eb="217">
      <t>シハラ</t>
    </rPh>
    <rPh sb="217" eb="219">
      <t>キキン</t>
    </rPh>
    <rPh sb="220" eb="222">
      <t>ブンセキ</t>
    </rPh>
    <rPh sb="222" eb="225">
      <t>ヒョウカブ</t>
    </rPh>
    <rPh sb="225" eb="226">
      <t>フク</t>
    </rPh>
    <rPh sb="229" eb="231">
      <t>コクホ</t>
    </rPh>
    <rPh sb="231" eb="234">
      <t>チュウオウカイ</t>
    </rPh>
    <rPh sb="236" eb="238">
      <t>リンジ</t>
    </rPh>
    <rPh sb="238" eb="240">
      <t>カイギ</t>
    </rPh>
    <phoneticPr fontId="2"/>
  </si>
  <si>
    <t>■要求事項
健診文書における「受診券情報に記録される個人識別子(被保番等)」と「健診実施日に有効な個人識別子(被保番等)」の一致チェック(「保険者以外が行うその他健診」は除く)
※受診券情報はCoverageServiceを参照すること。なお、当該リソースのプロファイルが、3月リリース向けのプロファイルで更新されるため、当該プロファイルがFIXされてから本案件の開発を行うこと</t>
    <rPh sb="90" eb="92">
      <t>ジュシン</t>
    </rPh>
    <rPh sb="92" eb="93">
      <t>ケン</t>
    </rPh>
    <rPh sb="93" eb="95">
      <t>ジョウホウ</t>
    </rPh>
    <rPh sb="112" eb="114">
      <t>サンショウ</t>
    </rPh>
    <rPh sb="122" eb="124">
      <t>トウガイ</t>
    </rPh>
    <rPh sb="138" eb="139">
      <t>ガツ</t>
    </rPh>
    <rPh sb="143" eb="144">
      <t>ム</t>
    </rPh>
    <rPh sb="153" eb="155">
      <t>コウシン</t>
    </rPh>
    <rPh sb="161" eb="163">
      <t>トウガイ</t>
    </rPh>
    <rPh sb="178" eb="181">
      <t>ホンアンケン</t>
    </rPh>
    <rPh sb="182" eb="184">
      <t>カイハツ</t>
    </rPh>
    <rPh sb="185" eb="186">
      <t>オコナ</t>
    </rPh>
    <phoneticPr fontId="2"/>
  </si>
  <si>
    <t>135</t>
    <phoneticPr fontId="2"/>
  </si>
  <si>
    <t>135_1</t>
    <phoneticPr fontId="2"/>
  </si>
  <si>
    <t>1つのアレルギー情報に対するアレルギー不耐症における有害反応の複数記述の許容</t>
    <rPh sb="8" eb="10">
      <t>ジョウホウ</t>
    </rPh>
    <rPh sb="11" eb="12">
      <t>タイ</t>
    </rPh>
    <rPh sb="19" eb="22">
      <t>フタイショウ</t>
    </rPh>
    <rPh sb="26" eb="30">
      <t>ユウガイハンノウ</t>
    </rPh>
    <rPh sb="31" eb="33">
      <t>フクスウ</t>
    </rPh>
    <rPh sb="33" eb="35">
      <t>キジュツ</t>
    </rPh>
    <rPh sb="36" eb="38">
      <t>キョヨウ</t>
    </rPh>
    <phoneticPr fontId="2"/>
  </si>
  <si>
    <t>AllergyIntoleranceリソース　アレルギー情報のreaction.manifestation.coding.systemには複数入力がされたときエラーを返すアドオンチェックを削除する（「アドオンチェックルール不変#169」の削除）</t>
    <rPh sb="28" eb="30">
      <t>ジョウホウ</t>
    </rPh>
    <rPh sb="69" eb="71">
      <t>フクスウ</t>
    </rPh>
    <rPh sb="71" eb="73">
      <t>ニュウリョク</t>
    </rPh>
    <rPh sb="83" eb="84">
      <t>カエ</t>
    </rPh>
    <rPh sb="94" eb="96">
      <t>サクジョ</t>
    </rPh>
    <phoneticPr fontId="2"/>
  </si>
  <si>
    <t>■起票背景
実装ガイドでは複数記述を許容している他、実運用においても１つの情報に対して、複数の反応を記載する可能性がある
■目的
アレルギー不耐症を詳細に記述できる仕様とする</t>
    <rPh sb="1" eb="5">
      <t>キヒョウハイケイ</t>
    </rPh>
    <rPh sb="6" eb="8">
      <t>ジッソウ</t>
    </rPh>
    <rPh sb="13" eb="15">
      <t>フクスウ</t>
    </rPh>
    <rPh sb="15" eb="17">
      <t>キジュツ</t>
    </rPh>
    <rPh sb="18" eb="20">
      <t>キョヨウ</t>
    </rPh>
    <rPh sb="24" eb="25">
      <t>ホカ</t>
    </rPh>
    <rPh sb="26" eb="29">
      <t>ジツウンヨウ</t>
    </rPh>
    <rPh sb="37" eb="39">
      <t>ジョウホウ</t>
    </rPh>
    <rPh sb="40" eb="41">
      <t>タイ</t>
    </rPh>
    <rPh sb="44" eb="46">
      <t>フクスウ</t>
    </rPh>
    <rPh sb="47" eb="49">
      <t>ハンノウ</t>
    </rPh>
    <rPh sb="50" eb="52">
      <t>キサイ</t>
    </rPh>
    <rPh sb="54" eb="57">
      <t>カノウセイ</t>
    </rPh>
    <rPh sb="63" eb="65">
      <t>モクテキ</t>
    </rPh>
    <rPh sb="71" eb="74">
      <t>フタイショウ</t>
    </rPh>
    <rPh sb="75" eb="77">
      <t>ショウサイ</t>
    </rPh>
    <rPh sb="78" eb="80">
      <t>キジュツ</t>
    </rPh>
    <rPh sb="83" eb="85">
      <t>シヨウ</t>
    </rPh>
    <phoneticPr fontId="2"/>
  </si>
  <si>
    <t>複数の有害反応を記載することができるようになり、より詳細な患者の状態を記録することができる。</t>
    <rPh sb="0" eb="2">
      <t>フクスウ</t>
    </rPh>
    <rPh sb="3" eb="7">
      <t>ユウガイハンノウ</t>
    </rPh>
    <rPh sb="8" eb="10">
      <t>キサイ</t>
    </rPh>
    <rPh sb="26" eb="28">
      <t>ショウサイ</t>
    </rPh>
    <rPh sb="29" eb="31">
      <t>カンジャ</t>
    </rPh>
    <rPh sb="32" eb="34">
      <t>ジョウタイ</t>
    </rPh>
    <rPh sb="35" eb="37">
      <t>キロク</t>
    </rPh>
    <phoneticPr fontId="2"/>
  </si>
  <si>
    <t>■要求事項
既存のアドオンチェック「1つのcodeableConceptにcodingが複数存在するとき、同一のsystem値が複数存在する場合エラーとする」を削除し、codeableConceptに複数のコーディングが記載されることを許容する。（「アドオンチェックルール不変#169」の削除）
対象：AllergyIntoleranceリソース　アレルギー情報　reaction.manifestation.coding.system</t>
  </si>
  <si>
    <t>■要求事項
既存のアドオンチェック「1つのcodeableConceptにcodingが複数存在するとき、同一のsystem値が複数存在する場合エラーとする」を削除し、codeableConceptに複数のコーディングが記載されることを許容する。（「アドオンチェックルール不変#169」の削除）
対象：AllergyIntoleranceリソース　アレルギー情報　reaction.manifestation.coding.system</t>
    <rPh sb="6" eb="8">
      <t>キソン</t>
    </rPh>
    <rPh sb="80" eb="82">
      <t>サクジョ</t>
    </rPh>
    <rPh sb="100" eb="102">
      <t>フクスウ</t>
    </rPh>
    <rPh sb="110" eb="112">
      <t>キサイ</t>
    </rPh>
    <rPh sb="118" eb="120">
      <t>キョヨウ</t>
    </rPh>
    <rPh sb="149" eb="151">
      <t>タイショウ</t>
    </rPh>
    <phoneticPr fontId="2"/>
  </si>
  <si>
    <t>136</t>
    <phoneticPr fontId="2"/>
  </si>
  <si>
    <t>136_1</t>
    <phoneticPr fontId="2"/>
  </si>
  <si>
    <t>検査・感染症指定項目以外における複合結果(収縮期血圧値と拡張期血圧値等)の記述の許容</t>
    <rPh sb="0" eb="2">
      <t>ケンサ</t>
    </rPh>
    <rPh sb="3" eb="6">
      <t>カンセンショウ</t>
    </rPh>
    <rPh sb="6" eb="8">
      <t>シテイ</t>
    </rPh>
    <rPh sb="8" eb="10">
      <t>コウモク</t>
    </rPh>
    <rPh sb="10" eb="12">
      <t>イガイ</t>
    </rPh>
    <rPh sb="16" eb="18">
      <t>フクゴウ</t>
    </rPh>
    <rPh sb="18" eb="20">
      <t>ケッカ</t>
    </rPh>
    <rPh sb="34" eb="35">
      <t>ナド</t>
    </rPh>
    <rPh sb="37" eb="39">
      <t>キジュツ</t>
    </rPh>
    <rPh sb="40" eb="42">
      <t>キョヨウ</t>
    </rPh>
    <phoneticPr fontId="2"/>
  </si>
  <si>
    <t>observationリソース検査・感染症情報において、同一検査による複数の出力を記載する「componentに値が記録されている場合エラーを返すアドオンチェック」を削除する（「アドオンチェックルール不変#180」の削除）</t>
    <rPh sb="28" eb="30">
      <t>ドウイツ</t>
    </rPh>
    <rPh sb="30" eb="32">
      <t>ケンサ</t>
    </rPh>
    <rPh sb="35" eb="37">
      <t>フクスウ</t>
    </rPh>
    <rPh sb="38" eb="40">
      <t>シュツリョク</t>
    </rPh>
    <rPh sb="41" eb="43">
      <t>キサイ</t>
    </rPh>
    <rPh sb="56" eb="57">
      <t>アタイ</t>
    </rPh>
    <rPh sb="58" eb="60">
      <t>キロク</t>
    </rPh>
    <rPh sb="65" eb="67">
      <t>バアイ</t>
    </rPh>
    <rPh sb="71" eb="72">
      <t>カエ</t>
    </rPh>
    <rPh sb="83" eb="85">
      <t>サクジョ</t>
    </rPh>
    <phoneticPr fontId="2"/>
  </si>
  <si>
    <t>■起票背景
検査・感染症指定項目の項目拡張がなされた場合又は検査・感染症指定項目以外が記録されたcomponentを記録（利用）することが許容されるべきのため
■目的
componentの記載を許容する仕様にする</t>
    <rPh sb="1" eb="5">
      <t>キヒョウハイケイ</t>
    </rPh>
    <rPh sb="28" eb="29">
      <t>マタ</t>
    </rPh>
    <rPh sb="36" eb="38">
      <t>シテイ</t>
    </rPh>
    <rPh sb="38" eb="40">
      <t>コウモク</t>
    </rPh>
    <rPh sb="40" eb="42">
      <t>イガイ</t>
    </rPh>
    <rPh sb="43" eb="45">
      <t>キロク</t>
    </rPh>
    <rPh sb="81" eb="83">
      <t>モクテキ</t>
    </rPh>
    <rPh sb="94" eb="96">
      <t>キサイ</t>
    </rPh>
    <rPh sb="102" eb="104">
      <t>シヨウキョヨウ</t>
    </rPh>
    <phoneticPr fontId="2"/>
  </si>
  <si>
    <t>同じ検査・観察において、メソッドが1つ、観察が1つ、実行者が1つ、デバイスが1つ、時間が1つしかない１回の検査・観察で同時に複数の検査結果が得られる場合に正確に検査結果を記載することができるようになる。</t>
    <rPh sb="77" eb="79">
      <t>セイカク</t>
    </rPh>
    <rPh sb="80" eb="84">
      <t>ケンサケッカ</t>
    </rPh>
    <rPh sb="85" eb="87">
      <t>キサイ</t>
    </rPh>
    <phoneticPr fontId="2"/>
  </si>
  <si>
    <t>■要求事項
既存のアドオンチェック「componentが記録されていた場合、エラーとする。」を削除し、componentへの記載を許容する（「アドオンチェックルール不変#180」の削除）
対象：Observationリソース　検査・感染症情報　component</t>
    <rPh sb="1" eb="5">
      <t>ヨウキュウジコウ</t>
    </rPh>
    <rPh sb="6" eb="8">
      <t>キソン</t>
    </rPh>
    <rPh sb="47" eb="49">
      <t>サクジョ</t>
    </rPh>
    <rPh sb="62" eb="64">
      <t>キサイ</t>
    </rPh>
    <rPh sb="65" eb="67">
      <t>キョヨウ</t>
    </rPh>
    <rPh sb="95" eb="97">
      <t>タイショウ</t>
    </rPh>
    <rPh sb="114" eb="116">
      <t>ケンサ</t>
    </rPh>
    <rPh sb="117" eb="122">
      <t>カンセンショウジョウホウ</t>
    </rPh>
    <phoneticPr fontId="2"/>
  </si>
  <si>
    <t>137</t>
    <phoneticPr fontId="2"/>
  </si>
  <si>
    <t>137_1</t>
    <phoneticPr fontId="2"/>
  </si>
  <si>
    <t>健診文書作成主体と検査実施主体が異なるケースの許容</t>
    <rPh sb="0" eb="4">
      <t>ケンシンブンショ</t>
    </rPh>
    <rPh sb="4" eb="8">
      <t>サクセイシュタイ</t>
    </rPh>
    <rPh sb="9" eb="11">
      <t>ケンサ</t>
    </rPh>
    <rPh sb="11" eb="13">
      <t>ジッシ</t>
    </rPh>
    <rPh sb="13" eb="15">
      <t>シュタイ</t>
    </rPh>
    <rPh sb="16" eb="17">
      <t>コト</t>
    </rPh>
    <rPh sb="23" eb="25">
      <t>キョヨウ</t>
    </rPh>
    <phoneticPr fontId="2"/>
  </si>
  <si>
    <t>Compositionリソース　文書構成情報
/Organizationリソース　健診結果報告書作成組織情報　Compositionのauthor項目における、既存アドオンチェック「Compositionのauthorから参照されたOrganizationリソースとEncounterリソース.serviceProviderから参照されたOrganizationリソースが同一でない場合、エラーとする。」を削除する（「アドオンチェックルール不変#21」の削除）</t>
    <rPh sb="73" eb="75">
      <t>コウモク</t>
    </rPh>
    <rPh sb="80" eb="82">
      <t>キソン</t>
    </rPh>
    <rPh sb="203" eb="205">
      <t>サクジョ</t>
    </rPh>
    <phoneticPr fontId="2"/>
  </si>
  <si>
    <t>■起票背景
検査実施主体を外部組織に委託する場合などのケースをカバーしきれていない。
■目的
健診文書作成主体と検査実施主体が同一でない場合を許容する。</t>
    <rPh sb="6" eb="12">
      <t>ケンサジッシシュタイ</t>
    </rPh>
    <rPh sb="13" eb="17">
      <t>ガイブソシキ</t>
    </rPh>
    <rPh sb="18" eb="20">
      <t>イタク</t>
    </rPh>
    <rPh sb="22" eb="24">
      <t>バアイ</t>
    </rPh>
    <rPh sb="64" eb="66">
      <t>ドウイツ</t>
    </rPh>
    <rPh sb="69" eb="71">
      <t>バアイ</t>
    </rPh>
    <rPh sb="72" eb="74">
      <t>キョヨウ</t>
    </rPh>
    <phoneticPr fontId="2"/>
  </si>
  <si>
    <t>健診文書作成主体と検査実施主体が異なっても文書登録が可能となる</t>
    <rPh sb="0" eb="8">
      <t>ケンシンブンショサクセイシュタイ</t>
    </rPh>
    <rPh sb="9" eb="15">
      <t>ケンサジッシシュタイ</t>
    </rPh>
    <rPh sb="16" eb="17">
      <t>コト</t>
    </rPh>
    <rPh sb="21" eb="25">
      <t>ブンショトウロク</t>
    </rPh>
    <rPh sb="26" eb="28">
      <t>カノウ</t>
    </rPh>
    <phoneticPr fontId="2"/>
  </si>
  <si>
    <t xml:space="preserve">■要求事項
既存のアドオンチェック「Compositionのauthorから参照されたOrganizationリソースとEncounterリソース.serviceProviderから参照されたOrganizationリソースが同一でない場合、エラーとする。」を削除し、健診文書作成主体と検査実施主体が異なることを許容する（「アドオンチェックルール不変#21」の削除）
対象：Compositionリソース　文書構成情報/Organizationリソース　健診結果報告書作成組織情報　Compositionのauthor
</t>
    <rPh sb="6" eb="8">
      <t>キゾン</t>
    </rPh>
    <rPh sb="130" eb="132">
      <t>サクジョ</t>
    </rPh>
    <rPh sb="134" eb="136">
      <t>ケンシン</t>
    </rPh>
    <rPh sb="136" eb="138">
      <t>ブンショ</t>
    </rPh>
    <rPh sb="138" eb="140">
      <t>サクセイ</t>
    </rPh>
    <rPh sb="140" eb="142">
      <t>シュタイ</t>
    </rPh>
    <rPh sb="143" eb="145">
      <t>ケンサ</t>
    </rPh>
    <rPh sb="145" eb="147">
      <t>ジッシ</t>
    </rPh>
    <rPh sb="147" eb="149">
      <t>シュタイ</t>
    </rPh>
    <rPh sb="150" eb="151">
      <t>コト</t>
    </rPh>
    <rPh sb="156" eb="158">
      <t>キョヨウ</t>
    </rPh>
    <rPh sb="185" eb="187">
      <t>タイショウ</t>
    </rPh>
    <phoneticPr fontId="2"/>
  </si>
  <si>
    <t>138</t>
    <phoneticPr fontId="2"/>
  </si>
  <si>
    <t>138_1</t>
    <phoneticPr fontId="2"/>
  </si>
  <si>
    <t>検査・感染症情報における検査指定43項目・感染症指定5項目が出現しない登録の許容</t>
    <rPh sb="0" eb="2">
      <t>ケンサ</t>
    </rPh>
    <rPh sb="3" eb="6">
      <t>カンセンショウ</t>
    </rPh>
    <rPh sb="6" eb="8">
      <t>ジョウホウ</t>
    </rPh>
    <rPh sb="12" eb="14">
      <t>ケンサ</t>
    </rPh>
    <rPh sb="14" eb="16">
      <t>シテイ</t>
    </rPh>
    <rPh sb="18" eb="20">
      <t>コウモク</t>
    </rPh>
    <rPh sb="21" eb="24">
      <t>カンセンショウ</t>
    </rPh>
    <rPh sb="24" eb="26">
      <t>シテイ</t>
    </rPh>
    <rPh sb="27" eb="29">
      <t>コウモク</t>
    </rPh>
    <rPh sb="30" eb="32">
      <t>シュツゲン</t>
    </rPh>
    <rPh sb="35" eb="37">
      <t>トウロク</t>
    </rPh>
    <rPh sb="38" eb="40">
      <t>キョヨウ</t>
    </rPh>
    <phoneticPr fontId="2"/>
  </si>
  <si>
    <t>検査・感染症情報の登録について、「検査指定43項目が出現しない」 または「感染症指定5項目が出現しない」ケースを許容する。</t>
    <rPh sb="56" eb="58">
      <t>キョヨウ</t>
    </rPh>
    <phoneticPr fontId="2"/>
  </si>
  <si>
    <t>■起票背景
電子カルテ情報共有サービスでは、検査・感染症情報の登録において指定項目(検査43項目・感染症5項目)を規定しており、指定項目を含まない情報の登録を許容しない仕様としていた。
しかし、医療機関等システムの実装によっては、指定項目がない状態で検査・感染症情報の登録がなされており、エラーが多発している状況を鑑み、現在の仕様を見直す方針となった。
■目的
検査・感染症情報は、指定項目のみオンライン資格確認システムへ連携されるため、指定項目以外の情報が含まれていたとしても医療機関等・マイナポータル閲覧等の運用に影響はない状況。そのため、医師のエラーへの対応に係る負担を減らすため、検査指定43項目または感染症指定5項目が出現しない登録を許容する。</t>
    <rPh sb="1" eb="3">
      <t>キヒョウ</t>
    </rPh>
    <rPh sb="3" eb="5">
      <t>ハイケイ</t>
    </rPh>
    <rPh sb="6" eb="8">
      <t>デンシ</t>
    </rPh>
    <rPh sb="11" eb="13">
      <t>ジョウホウ</t>
    </rPh>
    <rPh sb="13" eb="15">
      <t>キョウユウ</t>
    </rPh>
    <rPh sb="22" eb="24">
      <t>ケンサ</t>
    </rPh>
    <rPh sb="25" eb="28">
      <t>カンセンショウ</t>
    </rPh>
    <rPh sb="28" eb="30">
      <t>ジョウホウ</t>
    </rPh>
    <rPh sb="31" eb="33">
      <t>トウロク</t>
    </rPh>
    <rPh sb="37" eb="39">
      <t>シテイ</t>
    </rPh>
    <rPh sb="39" eb="41">
      <t>コウモク</t>
    </rPh>
    <rPh sb="42" eb="44">
      <t>ケンサ</t>
    </rPh>
    <rPh sb="46" eb="48">
      <t>コウモク</t>
    </rPh>
    <rPh sb="49" eb="52">
      <t>カンセンショウ</t>
    </rPh>
    <rPh sb="53" eb="55">
      <t>コウモク</t>
    </rPh>
    <rPh sb="57" eb="59">
      <t>キテイ</t>
    </rPh>
    <rPh sb="64" eb="66">
      <t>シテイ</t>
    </rPh>
    <rPh sb="66" eb="68">
      <t>コウモク</t>
    </rPh>
    <rPh sb="69" eb="70">
      <t>フク</t>
    </rPh>
    <rPh sb="73" eb="75">
      <t>ジョウホウ</t>
    </rPh>
    <rPh sb="76" eb="78">
      <t>トウロク</t>
    </rPh>
    <rPh sb="79" eb="81">
      <t>キョヨウ</t>
    </rPh>
    <rPh sb="84" eb="86">
      <t>シヨウ</t>
    </rPh>
    <rPh sb="97" eb="99">
      <t>イリョウ</t>
    </rPh>
    <rPh sb="99" eb="101">
      <t>キカン</t>
    </rPh>
    <rPh sb="101" eb="102">
      <t>トウ</t>
    </rPh>
    <rPh sb="107" eb="109">
      <t>ジッソウ</t>
    </rPh>
    <rPh sb="115" eb="117">
      <t>シテイ</t>
    </rPh>
    <rPh sb="117" eb="119">
      <t>コウモク</t>
    </rPh>
    <rPh sb="122" eb="124">
      <t>ジョウタイ</t>
    </rPh>
    <rPh sb="125" eb="127">
      <t>ケンサ</t>
    </rPh>
    <rPh sb="128" eb="131">
      <t>カンセンショウ</t>
    </rPh>
    <rPh sb="131" eb="133">
      <t>ジョウホウ</t>
    </rPh>
    <rPh sb="134" eb="136">
      <t>トウロク</t>
    </rPh>
    <rPh sb="148" eb="150">
      <t>タハツ</t>
    </rPh>
    <rPh sb="154" eb="156">
      <t>ジョウキョウ</t>
    </rPh>
    <rPh sb="157" eb="158">
      <t>カンガ</t>
    </rPh>
    <rPh sb="160" eb="162">
      <t>ゲンザイ</t>
    </rPh>
    <rPh sb="163" eb="165">
      <t>シヨウ</t>
    </rPh>
    <rPh sb="166" eb="168">
      <t>ミナオ</t>
    </rPh>
    <rPh sb="169" eb="171">
      <t>ホウシン</t>
    </rPh>
    <rPh sb="179" eb="181">
      <t>モクテキ</t>
    </rPh>
    <rPh sb="240" eb="242">
      <t>イリョウ</t>
    </rPh>
    <rPh sb="242" eb="244">
      <t>キカン</t>
    </rPh>
    <rPh sb="244" eb="245">
      <t>トウ</t>
    </rPh>
    <rPh sb="253" eb="255">
      <t>エツラン</t>
    </rPh>
    <rPh sb="255" eb="256">
      <t>トウ</t>
    </rPh>
    <rPh sb="257" eb="259">
      <t>ウンヨウ</t>
    </rPh>
    <rPh sb="265" eb="267">
      <t>ジョウキョウ</t>
    </rPh>
    <rPh sb="281" eb="283">
      <t>タイオウ</t>
    </rPh>
    <rPh sb="284" eb="285">
      <t>カカ</t>
    </rPh>
    <phoneticPr fontId="2"/>
  </si>
  <si>
    <t>「検査指定43項目」または「感染症指定5項目」が出現しない場合でも検査・感染症情報の登録が可能となり、医療機関等へ返却するエラーが減ることにより、医師等のエラー対応に係る負担が軽減される。</t>
    <rPh sb="1" eb="3">
      <t>ケンサ</t>
    </rPh>
    <rPh sb="3" eb="5">
      <t>シテイ</t>
    </rPh>
    <rPh sb="7" eb="9">
      <t>コウモク</t>
    </rPh>
    <rPh sb="14" eb="17">
      <t>カンセンショウ</t>
    </rPh>
    <rPh sb="17" eb="19">
      <t>シテイ</t>
    </rPh>
    <rPh sb="20" eb="22">
      <t>コウモク</t>
    </rPh>
    <rPh sb="24" eb="26">
      <t>シュツゲン</t>
    </rPh>
    <rPh sb="29" eb="31">
      <t>バアイ</t>
    </rPh>
    <rPh sb="33" eb="35">
      <t>ケンサ</t>
    </rPh>
    <rPh sb="36" eb="39">
      <t>カンセンショウ</t>
    </rPh>
    <rPh sb="39" eb="41">
      <t>ジョウホウ</t>
    </rPh>
    <rPh sb="42" eb="44">
      <t>トウロク</t>
    </rPh>
    <rPh sb="45" eb="47">
      <t>カノウ</t>
    </rPh>
    <rPh sb="51" eb="53">
      <t>イリョウ</t>
    </rPh>
    <rPh sb="53" eb="55">
      <t>キカン</t>
    </rPh>
    <rPh sb="55" eb="56">
      <t>トウ</t>
    </rPh>
    <rPh sb="57" eb="59">
      <t>ヘンキャク</t>
    </rPh>
    <rPh sb="65" eb="66">
      <t>ヘ</t>
    </rPh>
    <rPh sb="73" eb="75">
      <t>イシ</t>
    </rPh>
    <rPh sb="75" eb="76">
      <t>トウ</t>
    </rPh>
    <rPh sb="80" eb="82">
      <t>タイオウ</t>
    </rPh>
    <rPh sb="83" eb="84">
      <t>カカ</t>
    </rPh>
    <rPh sb="85" eb="87">
      <t>フタン</t>
    </rPh>
    <rPh sb="88" eb="90">
      <t>ケイゲン</t>
    </rPh>
    <phoneticPr fontId="2"/>
  </si>
  <si>
    <t>■要求事項①（仕様変更）
対象機能：臨床情報登録機能
要求事項：検査・感染症情報の登録において、検査指定43項目または感染症指定5項目が含まれない登録を許容する。
■要求事項②（仕様変更なし）
対象機能：臨床情報閲覧機能(患者サマリ・マイナポ含む)
要求事項：検査指定43項目または感染症指定5項目以外の検査項目については臨床情報として表示しない（現状の仕様と変更なし）
■備考
※想定する実装方式
以下の既存のアドオンチェックを削除し、検査・感染症情報における検査指定43項目・感染症指定5項目が出現しないケースを許容する（「アドオンチェックルール不変#90」の削除）
「全てのリソースのcodingの内容に、下記が含まれない場合、連携対象がないため、エラーとする。
・http://jpfhir.jp/fhir/clins/CodeSystem/JLAC10/JP_CLINS_ObsLabResult_CoreLabo_CS
・http://jpfhir.jp/fhir/clins/CodeSystem/JLAC11/JP_CLINS_ObsLabResult_CoreLabo_CS
・http://jpfhir.jp/fhir/clins/CodeSystem/JLAC10/JP_CLINS_ObsLabResult_InfectionLabo_CS
・http://jpfhir.jp/fhir/clins/CodeSystem/JLAC11/JP_CLINS_ObsLabResult_InfectionLabo_CS」
対象：Observationリソース　検査・感染症情報</t>
    <rPh sb="1" eb="3">
      <t>ヨウキュウ</t>
    </rPh>
    <rPh sb="3" eb="5">
      <t>ジコウ</t>
    </rPh>
    <rPh sb="13" eb="15">
      <t>タイショウ</t>
    </rPh>
    <rPh sb="15" eb="17">
      <t>キノウ</t>
    </rPh>
    <rPh sb="18" eb="20">
      <t>リンショウ</t>
    </rPh>
    <rPh sb="20" eb="22">
      <t>ジョウホウ</t>
    </rPh>
    <rPh sb="22" eb="24">
      <t>トウロク</t>
    </rPh>
    <rPh sb="24" eb="26">
      <t>キノウ</t>
    </rPh>
    <rPh sb="27" eb="29">
      <t>ヨウキュウ</t>
    </rPh>
    <rPh sb="29" eb="31">
      <t>ジコウ</t>
    </rPh>
    <rPh sb="32" eb="34">
      <t>ケンサ</t>
    </rPh>
    <rPh sb="35" eb="38">
      <t>カンセンショウ</t>
    </rPh>
    <rPh sb="38" eb="40">
      <t>ジョウホウ</t>
    </rPh>
    <rPh sb="41" eb="43">
      <t>トウロク</t>
    </rPh>
    <rPh sb="48" eb="50">
      <t>ケンサ</t>
    </rPh>
    <rPh sb="50" eb="52">
      <t>シテイ</t>
    </rPh>
    <rPh sb="54" eb="56">
      <t>コウモク</t>
    </rPh>
    <rPh sb="59" eb="62">
      <t>カンセンショウ</t>
    </rPh>
    <rPh sb="62" eb="64">
      <t>シテイ</t>
    </rPh>
    <rPh sb="65" eb="67">
      <t>コウモク</t>
    </rPh>
    <rPh sb="68" eb="69">
      <t>フク</t>
    </rPh>
    <rPh sb="73" eb="75">
      <t>トウロク</t>
    </rPh>
    <rPh sb="76" eb="78">
      <t>キョヨウ</t>
    </rPh>
    <rPh sb="106" eb="108">
      <t>エツラン</t>
    </rPh>
    <rPh sb="111" eb="113">
      <t>カンジャ</t>
    </rPh>
    <rPh sb="121" eb="122">
      <t>フク</t>
    </rPh>
    <rPh sb="149" eb="151">
      <t>イガイ</t>
    </rPh>
    <rPh sb="152" eb="154">
      <t>ケンサ</t>
    </rPh>
    <rPh sb="154" eb="156">
      <t>コウモク</t>
    </rPh>
    <rPh sb="161" eb="163">
      <t>リンショウ</t>
    </rPh>
    <rPh sb="163" eb="165">
      <t>ジョウホウ</t>
    </rPh>
    <rPh sb="168" eb="170">
      <t>ヒョウジ</t>
    </rPh>
    <rPh sb="174" eb="176">
      <t>ゲンジョウ</t>
    </rPh>
    <rPh sb="177" eb="179">
      <t>シヨウ</t>
    </rPh>
    <rPh sb="180" eb="182">
      <t>ヘンコウ</t>
    </rPh>
    <rPh sb="204" eb="206">
      <t>ビコウ</t>
    </rPh>
    <rPh sb="208" eb="210">
      <t>ソウテイ</t>
    </rPh>
    <rPh sb="212" eb="214">
      <t>ジッソウ</t>
    </rPh>
    <rPh sb="214" eb="216">
      <t>ホウシキ</t>
    </rPh>
    <rPh sb="217" eb="219">
      <t>イカ</t>
    </rPh>
    <rPh sb="220" eb="222">
      <t>キゾン</t>
    </rPh>
    <rPh sb="232" eb="234">
      <t>サクジョ</t>
    </rPh>
    <rPh sb="236" eb="238">
      <t>ケンサ</t>
    </rPh>
    <rPh sb="239" eb="242">
      <t>カンセンショウ</t>
    </rPh>
    <rPh sb="242" eb="244">
      <t>ジョウホウ</t>
    </rPh>
    <rPh sb="248" eb="250">
      <t>ケンサ</t>
    </rPh>
    <rPh sb="250" eb="252">
      <t>シテイ</t>
    </rPh>
    <rPh sb="254" eb="256">
      <t>コウモク</t>
    </rPh>
    <rPh sb="257" eb="260">
      <t>カンセンショウ</t>
    </rPh>
    <rPh sb="260" eb="262">
      <t>シテイ</t>
    </rPh>
    <rPh sb="263" eb="265">
      <t>コウモク</t>
    </rPh>
    <rPh sb="266" eb="268">
      <t>シュツゲン</t>
    </rPh>
    <rPh sb="275" eb="277">
      <t>キョヨウ</t>
    </rPh>
    <rPh sb="292" eb="294">
      <t>フヘン</t>
    </rPh>
    <rPh sb="299" eb="301">
      <t>サクジョ</t>
    </rPh>
    <rPh sb="690" eb="692">
      <t>タイショウケンサカンセンショウジョウホウ</t>
    </rPh>
    <phoneticPr fontId="2"/>
  </si>
  <si>
    <t>医療機関等システムの実装によっては、指定項目がない状態で検査・感染症情報の登録がなされており、エラーが多発</t>
    <phoneticPr fontId="2"/>
  </si>
  <si>
    <t>■要求事項①（仕様変更）
対象機能：臨床情報登録機能
要求事項：検査・感染症情報の登録において、検査指定43項目または感染症指定5項目が含まれない登録を許容する。
■要求事項②（仕様変更なし）
対象機能：臨床情報閲覧機能(患者サマリ・マイナポ含む)
要求事項：検査指定43項目または感染症指定5項目以外の検査項目については臨床情報として表示しない（現状の仕様と変更なし）
■備考
※想定する実装方式
以下の既存のアドオンチェックを削除し、検査・感染症情報における検査指定43項目・感染症指定5項目が出現しないケースを許容する（「アドオンチェックルール不変#90」の削除）
「全てのリソースのcodingの内容に、下記が含まれない場合、連携対象がないため、エラーとする。
・http://jpfhir.jp/fhir/clins/CodeSystem/JLAC10/JP_CLINS_ObsLabResult_CoreLabo_CS
・http://jpfhir.jp/fhir/clins/CodeSystem/JLAC11/JP_CLINS_ObsLabResult_CoreLabo_CS
・http://jpfhir.jp/fhir/clins/CodeSystem/JLAC10/JP_CLINS_ObsLabResult_InfectionLabo_CS
・http://jpfhir.jp/fhir/clins/CodeSystem/JLAC11/JP_CLINS_ObsLabResult_InfectionLabo_CS」
対象：Observationリソース　検査・感染症情報</t>
    <rPh sb="204" eb="206">
      <t>ビコウ</t>
    </rPh>
    <rPh sb="208" eb="210">
      <t>ソウテイ</t>
    </rPh>
    <rPh sb="212" eb="214">
      <t>ジッソウ</t>
    </rPh>
    <rPh sb="214" eb="216">
      <t>ホウシキ</t>
    </rPh>
    <rPh sb="217" eb="219">
      <t>イカ</t>
    </rPh>
    <rPh sb="220" eb="222">
      <t>キゾン</t>
    </rPh>
    <rPh sb="232" eb="234">
      <t>サクジョ</t>
    </rPh>
    <rPh sb="236" eb="238">
      <t>ケンサ</t>
    </rPh>
    <rPh sb="239" eb="242">
      <t>カンセンショウ</t>
    </rPh>
    <rPh sb="242" eb="244">
      <t>ジョウホウ</t>
    </rPh>
    <rPh sb="248" eb="250">
      <t>ケンサ</t>
    </rPh>
    <rPh sb="250" eb="252">
      <t>シテイ</t>
    </rPh>
    <rPh sb="254" eb="256">
      <t>コウモク</t>
    </rPh>
    <rPh sb="257" eb="260">
      <t>カンセンショウ</t>
    </rPh>
    <rPh sb="260" eb="262">
      <t>シテイ</t>
    </rPh>
    <rPh sb="263" eb="265">
      <t>コウモク</t>
    </rPh>
    <rPh sb="266" eb="268">
      <t>シュツゲン</t>
    </rPh>
    <rPh sb="275" eb="277">
      <t>キョヨウ</t>
    </rPh>
    <rPh sb="292" eb="294">
      <t>フヘン</t>
    </rPh>
    <rPh sb="299" eb="301">
      <t>サクジョ</t>
    </rPh>
    <rPh sb="690" eb="692">
      <t>タイショウケンサカンセンショウジョウホウ</t>
    </rPh>
    <phoneticPr fontId="2"/>
  </si>
  <si>
    <t>139</t>
    <phoneticPr fontId="2"/>
  </si>
  <si>
    <t>エラー分析等を目的として個人情報を含むデータ(生データ等)を電カル共有から授受するための環境構築</t>
    <phoneticPr fontId="2"/>
  </si>
  <si>
    <t xml:space="preserve">バリデーションチェック検証ツールのソースコード公開 </t>
  </si>
  <si>
    <t>令和8年10月</t>
    <rPh sb="0" eb="2">
      <t>レイワ</t>
    </rPh>
    <rPh sb="3" eb="4">
      <t>ネン</t>
    </rPh>
    <rPh sb="6" eb="7">
      <t>ガツ</t>
    </rPh>
    <phoneticPr fontId="2"/>
  </si>
  <si>
    <t>・基金提供のバリデーションチェック検証ツールのソースコードをGitHub等に公開する。
・電子カルテ情報共有サービスにおけるGithub利用は、プライベートリポジトリにソースコードを限定公開する。
・公開後、医療機関等ベンダ（Github利用者）からのIssueの提示や、 バリデータの改修があった場合は、新バージョンをプロファイルの更新の都度公開する。</t>
    <phoneticPr fontId="2"/>
  </si>
  <si>
    <t>R7年度3月版をGITHUBで公開（R8年3月予定</t>
    <phoneticPr fontId="2"/>
  </si>
  <si>
    <t>起票済み</t>
    <rPh sb="0" eb="2">
      <t>キヒョウ</t>
    </rPh>
    <rPh sb="2" eb="3">
      <t>ズ</t>
    </rPh>
    <phoneticPr fontId="2"/>
  </si>
  <si>
    <t>―</t>
    <phoneticPr fontId="2"/>
  </si>
  <si>
    <t>ソースコードの公開レイアウト</t>
    <phoneticPr fontId="2"/>
  </si>
  <si>
    <t>#</t>
  </si>
  <si>
    <t>区分</t>
  </si>
  <si>
    <t>論点</t>
  </si>
  <si>
    <t>目的</t>
  </si>
  <si>
    <t>どのようなユースケースを想定しているか？</t>
  </si>
  <si>
    <t>療機関の運用において、いつ、誰が、どのような場合に利用するかを明確にする必要がある。</t>
  </si>
  <si>
    <t>・これまでと入力が変わる場合はアウトプットへの影響を検討する</t>
  </si>
  <si>
    <t>ニーズ</t>
  </si>
  <si>
    <t>新規機能の追加となることを踏まえて、どれだけの医療機関等システムベンダーが本機能を実装するか？</t>
  </si>
  <si>
    <t>・DBのカラム追加がある場合は既に登録済みのデータどうするか、要件定義や見積の時点で検討しておく</t>
  </si>
  <si>
    <t>実装は任意の機能(任意か必須化は別論点で確認)であれば、当然、どの医療機関等システムベンダーも「ほしい」と回答するため、実装予定の有無の観点でニーズを調査する必要がある。</t>
    <phoneticPr fontId="2"/>
  </si>
  <si>
    <t>ステークホルダー調整</t>
  </si>
  <si>
    <t>調整先のステークホルダーは誰か？調整スケジュールは明確化？</t>
  </si>
  <si>
    <t>ステークホルダーに対して要件を説明し、説得するまでのスケジュールを決める必要がある。(事務連絡等の発出含む)</t>
  </si>
  <si>
    <t>要件</t>
  </si>
  <si>
    <t>検索キーについて、過不足はないか？</t>
  </si>
  <si>
    <t>返却対象の項目に過不足がないかを、モデル医療機関、ベンダー・JAHISに確認したうえで要件を確定する必要がある。</t>
    <phoneticPr fontId="2"/>
  </si>
  <si>
    <t>あいまい検索の対象となる検索キーは何か？</t>
  </si>
  <si>
    <t>あいまい検索の種類は何か？</t>
  </si>
  <si>
    <t>一覧で返却する項目について、過不足がないか？</t>
  </si>
  <si>
    <t>DVフラグがONの患者に関する文書情報について、何かしらの制御を実装するか？</t>
  </si>
  <si>
    <t>あいまい検索の種類</t>
  </si>
  <si>
    <t>医療機関等システムにおける実装を必須/任意のどちらにするか？</t>
  </si>
  <si>
    <t>医療機関等システムにおける実装の必須/任意をけっていただきたい。</t>
  </si>
  <si>
    <t>あいまい検索を実装するとレスポンスタイムが長くなることを想定し、非機能要件として求めるレスポンスタイムの上限値は何秒か？</t>
  </si>
  <si>
    <t>情報</t>
    <rPh sb="0" eb="2">
      <t>ジョウホウ</t>
    </rPh>
    <phoneticPr fontId="2"/>
  </si>
  <si>
    <t>データの形式</t>
    <rPh sb="4" eb="6">
      <t>ケイシキ</t>
    </rPh>
    <phoneticPr fontId="2"/>
  </si>
  <si>
    <t>格納先</t>
    <rPh sb="0" eb="2">
      <t>カクノウ</t>
    </rPh>
    <rPh sb="2" eb="3">
      <t>サキ</t>
    </rPh>
    <phoneticPr fontId="2"/>
  </si>
  <si>
    <t>削除タイミング（論理削除）</t>
    <rPh sb="0" eb="2">
      <t>サクジョ</t>
    </rPh>
    <rPh sb="8" eb="10">
      <t>ロンリ</t>
    </rPh>
    <rPh sb="10" eb="12">
      <t>サクジョ</t>
    </rPh>
    <phoneticPr fontId="2"/>
  </si>
  <si>
    <t>削除タイミング（物理削除）</t>
    <rPh sb="0" eb="2">
      <t>サクジョ</t>
    </rPh>
    <rPh sb="8" eb="10">
      <t>ブツリ</t>
    </rPh>
    <rPh sb="10" eb="12">
      <t>サクジョ</t>
    </rPh>
    <phoneticPr fontId="2"/>
  </si>
  <si>
    <t>XML</t>
    <phoneticPr fontId="2"/>
  </si>
  <si>
    <t>Aurora</t>
    <phoneticPr fontId="2"/>
  </si>
  <si>
    <t>5年後</t>
    <rPh sb="1" eb="3">
      <t>ネンゴ</t>
    </rPh>
    <phoneticPr fontId="2"/>
  </si>
  <si>
    <t>傷病名※長期保存フラグ有</t>
    <rPh sb="0" eb="2">
      <t>ショウビョウ</t>
    </rPh>
    <rPh sb="2" eb="3">
      <t>メイ</t>
    </rPh>
    <rPh sb="4" eb="8">
      <t>チョウキホゾン</t>
    </rPh>
    <rPh sb="11" eb="12">
      <t>アリ</t>
    </rPh>
    <phoneticPr fontId="2"/>
  </si>
  <si>
    <t>アレルギー※長期保存フラグ有</t>
    <rPh sb="6" eb="10">
      <t>チョウキホゾン</t>
    </rPh>
    <rPh sb="13" eb="14">
      <t>アリ</t>
    </rPh>
    <phoneticPr fontId="2"/>
  </si>
  <si>
    <t>感染症</t>
    <rPh sb="0" eb="3">
      <t>カンセンショウ</t>
    </rPh>
    <phoneticPr fontId="2"/>
  </si>
  <si>
    <t>感染症※長期保存フラグ有</t>
    <rPh sb="0" eb="3">
      <t>カンセンショウ</t>
    </rPh>
    <rPh sb="4" eb="8">
      <t>チョウキホゾン</t>
    </rPh>
    <rPh sb="11" eb="12">
      <t>アリ</t>
    </rPh>
    <phoneticPr fontId="2"/>
  </si>
  <si>
    <t>検査</t>
    <rPh sb="0" eb="2">
      <t>ケンサ</t>
    </rPh>
    <phoneticPr fontId="2"/>
  </si>
  <si>
    <t>1年後(ただし、直近三回分は削除されない)</t>
    <rPh sb="1" eb="3">
      <t>ネンゴ</t>
    </rPh>
    <rPh sb="8" eb="10">
      <t>チョッキン</t>
    </rPh>
    <rPh sb="10" eb="13">
      <t>サンカイブン</t>
    </rPh>
    <rPh sb="14" eb="16">
      <t>サクジョ</t>
    </rPh>
    <phoneticPr fontId="2"/>
  </si>
  <si>
    <t>健診文書</t>
    <phoneticPr fontId="2"/>
  </si>
  <si>
    <t>登録してから５年たった年度の終わりまで残し、その次の年度のはじめ（４月１日）※</t>
    <phoneticPr fontId="2"/>
  </si>
  <si>
    <t>患者サマリー</t>
  </si>
  <si>
    <t>180日後</t>
    <rPh sb="3" eb="4">
      <t>ニチ</t>
    </rPh>
    <rPh sb="4" eb="5">
      <t>アト</t>
    </rPh>
    <phoneticPr fontId="2"/>
  </si>
  <si>
    <t>※例：</t>
    <rPh sb="1" eb="2">
      <t>レイ</t>
    </rPh>
    <phoneticPr fontId="2"/>
  </si>
  <si>
    <t>2010年10月10日登録 → 2015年のあいだは残す → 2016年４月１日に削除</t>
  </si>
  <si>
    <t>2020年１月１日登録 → 2024年のあいだは残す → 2025年４月１日に削除</t>
  </si>
  <si>
    <t>情報</t>
  </si>
  <si>
    <t>データの形式</t>
  </si>
  <si>
    <t>格納先</t>
  </si>
  <si>
    <t>登録日を起点として削除タイミング</t>
    <rPh sb="9" eb="11">
      <t>サクジョ</t>
    </rPh>
    <phoneticPr fontId="2"/>
  </si>
  <si>
    <t>論理削除</t>
    <rPh sb="0" eb="4">
      <t>ロンリサクジョ</t>
    </rPh>
    <phoneticPr fontId="2"/>
  </si>
  <si>
    <t>物理削除</t>
    <rPh sb="0" eb="4">
      <t>ブツリサクジョ</t>
    </rPh>
    <phoneticPr fontId="2"/>
  </si>
  <si>
    <t>臨床情報　※処方情報は対象外</t>
    <rPh sb="6" eb="8">
      <t>ショホウ</t>
    </rPh>
    <rPh sb="8" eb="10">
      <t>ジョウホウ</t>
    </rPh>
    <rPh sb="11" eb="14">
      <t>タイショウガイ</t>
    </rPh>
    <phoneticPr fontId="2"/>
  </si>
  <si>
    <t>BASE64デコードされたJSONデータ</t>
    <phoneticPr fontId="2"/>
  </si>
  <si>
    <t>S3</t>
    <phoneticPr fontId="2"/>
  </si>
  <si>
    <t>（オン資へ連携するため、オン資における整理を参照）</t>
    <rPh sb="3" eb="4">
      <t>シ</t>
    </rPh>
    <rPh sb="5" eb="7">
      <t>レンケイ</t>
    </rPh>
    <rPh sb="14" eb="15">
      <t>シ</t>
    </rPh>
    <rPh sb="19" eb="21">
      <t>セイリ</t>
    </rPh>
    <rPh sb="22" eb="24">
      <t>サンショウ</t>
    </rPh>
    <phoneticPr fontId="2"/>
  </si>
  <si>
    <t>診療情報提供書(退院時サマリー含む)
※ 処方情報あり</t>
    <phoneticPr fontId="2"/>
  </si>
  <si>
    <t>要求ファイルのXMLデータ</t>
    <phoneticPr fontId="2"/>
  </si>
  <si>
    <t>診療情報提供書(退院時サマリー含む)
※ 処方情報なし </t>
    <phoneticPr fontId="2"/>
  </si>
  <si>
    <t>要求ファイルのXMLデータ</t>
  </si>
  <si>
    <t>S3</t>
  </si>
  <si>
    <t>180日後</t>
    <rPh sb="3" eb="5">
      <t>ニチゴ</t>
    </rPh>
    <phoneticPr fontId="2"/>
  </si>
  <si>
    <t>361日後</t>
    <rPh sb="3" eb="5">
      <t>ニチゴ</t>
    </rPh>
    <phoneticPr fontId="2"/>
  </si>
  <si>
    <t>取得は取得から7日後にNG</t>
    <rPh sb="0" eb="2">
      <t>シュトク</t>
    </rPh>
    <rPh sb="3" eb="5">
      <t>シュトク</t>
    </rPh>
    <rPh sb="8" eb="10">
      <t>ニチゴ</t>
    </rPh>
    <phoneticPr fontId="2"/>
  </si>
  <si>
    <t>BASE64デコードされたFHIRデータ</t>
  </si>
  <si>
    <t>1833日後</t>
    <rPh sb="4" eb="6">
      <t>ニチゴ</t>
    </rPh>
    <phoneticPr fontId="2"/>
  </si>
  <si>
    <t>185日後</t>
    <rPh sb="3" eb="4">
      <t>ニチ</t>
    </rPh>
    <rPh sb="4" eb="5">
      <t>アト</t>
    </rPh>
    <phoneticPr fontId="2"/>
  </si>
  <si>
    <t>注釈：
診療情報提供書(退院時サマリ含む)については、紹介先で取得してから7日後に取得不可となる。</t>
    <rPh sb="0" eb="2">
      <t>チュウシャク</t>
    </rPh>
    <rPh sb="4" eb="11">
      <t>シンリョウジョウホウテイキョウショ</t>
    </rPh>
    <rPh sb="12" eb="15">
      <t>タイインジ</t>
    </rPh>
    <rPh sb="18" eb="19">
      <t>フク</t>
    </rPh>
    <rPh sb="27" eb="30">
      <t>ショウカイサキ</t>
    </rPh>
    <rPh sb="31" eb="33">
      <t>シュトク</t>
    </rPh>
    <rPh sb="38" eb="40">
      <t>ニチゴ</t>
    </rPh>
    <rPh sb="41" eb="43">
      <t>シュトク</t>
    </rPh>
    <rPh sb="43" eb="45">
      <t>フカ</t>
    </rPh>
    <phoneticPr fontId="2"/>
  </si>
  <si>
    <t>（オン資連携するので参照）</t>
    <rPh sb="3" eb="4">
      <t>シ</t>
    </rPh>
    <rPh sb="4" eb="6">
      <t>レンケイ</t>
    </rPh>
    <rPh sb="10" eb="12">
      <t>サンショウ</t>
    </rPh>
    <phoneticPr fontId="2"/>
  </si>
  <si>
    <t>永久</t>
    <rPh sb="0" eb="2">
      <t>エイキュウ</t>
    </rPh>
    <phoneticPr fontId="2"/>
  </si>
  <si>
    <t>サポートするプロファイルバージョンの終了(令和9年3末)</t>
    <rPh sb="18" eb="20">
      <t>シュウリョウ</t>
    </rPh>
    <rPh sb="21" eb="23">
      <t>レイワ</t>
    </rPh>
    <rPh sb="24" eb="25">
      <t>ネン</t>
    </rPh>
    <rPh sb="26" eb="27">
      <t>マツ</t>
    </rPh>
    <phoneticPr fontId="2"/>
  </si>
  <si>
    <t>2026/10/13 ACN 本田
医師会との調整踏まえ、厚労省での検討の結果、取り下げの方針となった。
2026/10/5 ACN本田
令和9年度案件として新規起票</t>
    <rPh sb="15" eb="17">
      <t>ホンダ</t>
    </rPh>
    <rPh sb="18" eb="21">
      <t>イシカイ</t>
    </rPh>
    <rPh sb="23" eb="25">
      <t>チョウセイ</t>
    </rPh>
    <rPh sb="25" eb="26">
      <t>フ</t>
    </rPh>
    <rPh sb="29" eb="32">
      <t>コウロウショウ</t>
    </rPh>
    <rPh sb="34" eb="36">
      <t>ケントウ</t>
    </rPh>
    <rPh sb="37" eb="39">
      <t>ケッカ</t>
    </rPh>
    <rPh sb="40" eb="41">
      <t>ト</t>
    </rPh>
    <rPh sb="42" eb="43">
      <t>サ</t>
    </rPh>
    <rPh sb="45" eb="47">
      <t>ホウシン</t>
    </rPh>
    <rPh sb="67" eb="69">
      <t>ホンダ</t>
    </rPh>
    <rPh sb="70" eb="72">
      <t>レイワ</t>
    </rPh>
    <rPh sb="73" eb="75">
      <t>ネンド</t>
    </rPh>
    <rPh sb="75" eb="77">
      <t>アンケン</t>
    </rPh>
    <rPh sb="80" eb="82">
      <t>シンキ</t>
    </rPh>
    <rPh sb="82" eb="84">
      <t>キヒョウ</t>
    </rPh>
    <phoneticPr fontId="2"/>
  </si>
  <si>
    <t>取り下げ理由：
本案件は医療課の指摘により、療養計画書別紙９と同等の用紙を患者が閲覧できるようにするための案件であったが、
医療課・医師会と調整し、別紙９と同等の内容が含まれていればよいという方針となったため、調整結果を踏まえて、本案件を取り下げる。</t>
    <rPh sb="0" eb="4">
      <t>トリサゲリ</t>
    </rPh>
    <rPh sb="4" eb="6">
      <t>ユウ</t>
    </rPh>
    <rPh sb="8" eb="9">
      <t>ホン</t>
    </rPh>
    <rPh sb="9" eb="11">
      <t>アンケン</t>
    </rPh>
    <rPh sb="12" eb="14">
      <t>イリョウ</t>
    </rPh>
    <rPh sb="14" eb="15">
      <t>カ</t>
    </rPh>
    <rPh sb="16" eb="18">
      <t>シテキ</t>
    </rPh>
    <rPh sb="22" eb="27">
      <t>リョウヨウケイカクショ</t>
    </rPh>
    <rPh sb="27" eb="29">
      <t>ベッシ</t>
    </rPh>
    <rPh sb="31" eb="33">
      <t>ドウトウ</t>
    </rPh>
    <rPh sb="34" eb="36">
      <t>ヨウシ</t>
    </rPh>
    <rPh sb="37" eb="39">
      <t>カンジャ</t>
    </rPh>
    <rPh sb="40" eb="42">
      <t>エツラン</t>
    </rPh>
    <rPh sb="53" eb="55">
      <t>アンケン</t>
    </rPh>
    <rPh sb="62" eb="64">
      <t>イリョウ</t>
    </rPh>
    <rPh sb="64" eb="65">
      <t>カ</t>
    </rPh>
    <rPh sb="66" eb="68">
      <t>イシ</t>
    </rPh>
    <rPh sb="68" eb="69">
      <t>カイ</t>
    </rPh>
    <rPh sb="70" eb="72">
      <t>チョウセイ</t>
    </rPh>
    <rPh sb="74" eb="76">
      <t>ベッシ</t>
    </rPh>
    <rPh sb="78" eb="80">
      <t>ドウトウ</t>
    </rPh>
    <rPh sb="81" eb="83">
      <t>ナイヨウ</t>
    </rPh>
    <rPh sb="84" eb="85">
      <t>フク</t>
    </rPh>
    <rPh sb="96" eb="98">
      <t>ホウシン</t>
    </rPh>
    <rPh sb="105" eb="107">
      <t>チョウセイ</t>
    </rPh>
    <rPh sb="107" eb="109">
      <t>ケッカ</t>
    </rPh>
    <rPh sb="110" eb="111">
      <t>フ</t>
    </rPh>
    <rPh sb="115" eb="116">
      <t>ホン</t>
    </rPh>
    <rPh sb="116" eb="118">
      <t>アンケン</t>
    </rPh>
    <rPh sb="119" eb="120">
      <t>ト</t>
    </rPh>
    <rPh sb="121" eb="122">
      <t>サ</t>
    </rPh>
    <phoneticPr fontId="2"/>
  </si>
  <si>
    <r>
      <rPr>
        <sz val="11"/>
        <color rgb="FF000000"/>
        <rFont val="Meiryo UI"/>
        <family val="3"/>
        <charset val="128"/>
      </rPr>
      <t>機能：オンライン資格確認端末の臨床情報詳細画面（PDF非出力機能）
内容：臨床情報詳細画面のレイアウトを変更する。詳細は次のページ以降を参照
①【臨床情報検索画面】
●検索条件欄
　‣項目表示削除：臨床情報分類区分のうち「処方情報」
●検索結果欄
　‣項目表示削除：処方情報
②【臨床情報詳細画面】
●傷病名
　‣項目追加：終了日
　‣項目追加：患者共有済み
　‣項目名称変更：病名開始日→診療開始日
　‣項目名称変更：転帰状況→臨床的状態
　‣表示削除：「傷病名」列内の「未告知」表示
●感染症情報
　‣項目追加：患者共有済み
　‣項目名称変更：感染症名→検査項目
　‣項目表示削除：ステータス
　</t>
    </r>
    <r>
      <rPr>
        <sz val="11"/>
        <color rgb="FF0000FF"/>
        <rFont val="Meiryo UI"/>
        <family val="3"/>
        <charset val="128"/>
      </rPr>
      <t xml:space="preserve">‣表示追加：「検査結果」列内に、検査結果の評価（H/L/N）を表示する。検査結果の評価はH/Lのみ記載し、Nは記述されていても記載しない。なお、表示位置は、「検査結果」列内で上下中央揃えとする。
</t>
    </r>
    <r>
      <rPr>
        <sz val="11"/>
        <color rgb="FF000000"/>
        <rFont val="Meiryo UI"/>
        <family val="3"/>
        <charset val="128"/>
      </rPr>
      <t>●薬剤アレルギー等情報
　‣項目追加：診断・症状・所見等
　‣項目名称変更：ステータス→臨床的状態（※他医療機関に表示されているのは「アクティブ」のみであることが分かるように、画面上に注釈を出す）
　‣項目表示削除：カテゴリ
●その他アレルギー等情報
　‣項目追加：診断・症状・所見等
　‣項目名称変更：ステータス→臨床的状態（※他医療機関に表示されているのは「アクティブ」のみであることが分かるように、画面上に注釈を出す）
　‣項目名称変更：アレルギー名→アレルギー物質
　‣項目表示削除：カテゴリ
●検査情報
　‣表示追加：「検査結果」列内に、</t>
    </r>
    <r>
      <rPr>
        <strike/>
        <sz val="11"/>
        <color rgb="FFFF0000"/>
        <rFont val="Meiryo UI"/>
        <family val="3"/>
        <charset val="128"/>
      </rPr>
      <t>検査結果の評価（H/L/N）を表示する。</t>
    </r>
    <r>
      <rPr>
        <sz val="11"/>
        <color rgb="FFFF0000"/>
        <rFont val="Meiryo UI"/>
        <family val="3"/>
        <charset val="128"/>
      </rPr>
      <t>検査結果の評価はH/Lのみ記載し、Nは記述されていても記載しない。</t>
    </r>
    <r>
      <rPr>
        <sz val="11"/>
        <color rgb="FF0000FF"/>
        <rFont val="Meiryo UI"/>
        <family val="3"/>
        <charset val="128"/>
      </rPr>
      <t xml:space="preserve">なお、表示位置は、「検査結果」列内で上下中央揃えとする。
</t>
    </r>
    <r>
      <rPr>
        <sz val="11"/>
        <color rgb="FF000000"/>
        <rFont val="Meiryo UI"/>
        <family val="3"/>
        <charset val="128"/>
      </rPr>
      <t>●処方情報
　‣項目表示削除：処方情報区分すべて
　</t>
    </r>
    <r>
      <rPr>
        <sz val="11"/>
        <color rgb="FFFF0000"/>
        <rFont val="Meiryo UI"/>
        <family val="3"/>
        <charset val="128"/>
      </rPr>
      <t xml:space="preserve">‣臨床情報登録情報履歴照会結果（CIP-IF-006）：処方情報削除に伴い、処方情報有無区分を「0：なし」を設定し、外部IF仕様書の備考欄等にも、「処方情報は蓋締め中のため、処方情報有無区分には必ず『0：なし』が設定される」旨の記載を行う
</t>
    </r>
    <r>
      <rPr>
        <sz val="11"/>
        <color rgb="FF000000"/>
        <rFont val="Meiryo UI"/>
        <family val="3"/>
        <charset val="128"/>
      </rPr>
      <t xml:space="preserve">
備考：
・感染症・検査情報における結果の評価値の表示位置は、「臨床情報詳細画面の評価値表示方法案（富士通社）」のうち「⑤余白追加４（検査結果・余白7px・評価値・余白11px）」とする。（2026/8/18 追記）</t>
    </r>
    <phoneticPr fontId="2"/>
  </si>
  <si>
    <t>■起票背景
・傷病名にでは医師等が患者に共有すると判断した情報に限り共有する。また感染症においても、医師等が患者に共有してよい状態であることを判断したうえで患者のマイナポータルへにて表示する。
・技術解説では、医師等が「患者共有済みボタン」を押下する(傷病名においてはConditionリソースに未告知フラグなし、感染症においてはObservationリソースに患者共有フラグありで本サービスに送信する)、患者のマイナポータルへ表示されるような実装のイメージであると示している。
■目的
・患者のマイナポータルで表示されるか否かを示す項目について、傷病名・感染症それぞれの情報において表示の仕方や項目名称が異なるため、見間違いが生じないように項目名称を統一させたが、表示位置される位置は異なっている</t>
    <phoneticPr fontId="2"/>
  </si>
  <si>
    <t>■起票背景
傷病名のTEXT値には修飾語を含めるFHIR仕様となっているため、後置修飾語としての疑いは本来TEXT値に含まれる想定である。
しかし、傷病名の疑いフラグを設定しても、TEXT値に「疑い」と記載されていない場合、臨床情報詳細画面出力されないことを検知。
■起票目的
後置修飾語を用いず、疑いフラグで対応している医療機関の場合、臨床情報詳細画面とPDFの表示に齟齬が生じる可能性があるため改修する。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</si>
</sst>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quot;月&quot;d&quot;日&quot;;@"/>
    <numFmt numFmtId="177" formatCode="yyyy/m/d;@"/>
    <numFmt numFmtId="178" formatCode="0.0"/>
  </numFmts>
  <fonts count="115" x14ac:knownFonts="1">
    <font>
      <sz val="11"/>
      <color theme="1"/>
      <name val="ＭＳ Ｐゴシック"/>
      <family val="2"/>
      <charset val="128"/>
      <scheme val="minor"/>
    </font>
    <font>
      <sz val="11"/>
      <name val="ＭＳ Ｐゴシック"/>
      <family val="3"/>
      <charset val="128"/>
    </font>
    <font>
      <sz val="6"/>
      <name val="ＭＳ Ｐゴシック"/>
      <family val="2"/>
      <charset val="128"/>
      <scheme val="minor"/>
    </font>
    <font>
      <b/>
      <sz val="11"/>
      <color theme="0"/>
      <name val="Meiryo UI"/>
      <family val="3"/>
      <charset val="128"/>
    </font>
    <font>
      <sz val="11"/>
      <color theme="1"/>
      <name val="Meiryo UI"/>
      <family val="3"/>
      <charset val="128"/>
    </font>
    <font>
      <sz val="11"/>
      <name val="Meiryo UI"/>
      <family val="3"/>
      <charset val="128"/>
    </font>
    <font>
      <sz val="11"/>
      <color theme="1"/>
      <name val="Meiryo UI"/>
      <family val="3"/>
    </font>
    <font>
      <sz val="11"/>
      <name val="Meiryo UI"/>
      <family val="3"/>
    </font>
    <font>
      <b/>
      <sz val="11"/>
      <color theme="0"/>
      <name val="Meiryo UI"/>
      <family val="3"/>
    </font>
    <font>
      <sz val="11"/>
      <color theme="1"/>
      <name val="ＭＳ Ｐゴシック"/>
      <family val="2"/>
      <scheme val="minor"/>
    </font>
    <font>
      <sz val="11"/>
      <color rgb="FFFF0000"/>
      <name val="Meiryo UI"/>
      <family val="3"/>
      <charset val="128"/>
    </font>
    <font>
      <sz val="11"/>
      <color rgb="FFFF0000"/>
      <name val="Meiryo UI"/>
      <family val="3"/>
    </font>
    <font>
      <b/>
      <sz val="11"/>
      <color theme="1"/>
      <name val="Meiryo UI"/>
      <family val="3"/>
      <charset val="128"/>
    </font>
    <font>
      <sz val="11"/>
      <color theme="1"/>
      <name val="ＭＳ Ｐゴシック"/>
      <family val="2"/>
      <charset val="128"/>
      <scheme val="minor"/>
    </font>
    <font>
      <b/>
      <sz val="11"/>
      <color rgb="FFFF0000"/>
      <name val="Meiryo UI"/>
      <family val="3"/>
    </font>
    <font>
      <b/>
      <sz val="11"/>
      <color theme="1"/>
      <name val="ＭＳ Ｐゴシック"/>
      <family val="2"/>
      <charset val="128"/>
      <scheme val="minor"/>
    </font>
    <font>
      <sz val="14"/>
      <color rgb="FF000000"/>
      <name val="Meiryo UI"/>
      <family val="3"/>
    </font>
    <font>
      <sz val="10"/>
      <color theme="1"/>
      <name val="Meiryo UI"/>
      <family val="3"/>
      <charset val="128"/>
    </font>
    <font>
      <sz val="10"/>
      <name val="Meiryo UI"/>
      <family val="3"/>
      <charset val="128"/>
    </font>
    <font>
      <sz val="10"/>
      <color theme="1"/>
      <name val="ＭＳ Ｐゴシック"/>
      <family val="2"/>
      <charset val="128"/>
      <scheme val="minor"/>
    </font>
    <font>
      <b/>
      <sz val="10"/>
      <color theme="1"/>
      <name val="Meiryo UI"/>
      <family val="3"/>
      <charset val="128"/>
    </font>
    <font>
      <b/>
      <sz val="10"/>
      <name val="Meiryo UI"/>
      <family val="3"/>
      <charset val="128"/>
    </font>
    <font>
      <b/>
      <sz val="10"/>
      <color theme="0"/>
      <name val="Meiryo UI"/>
      <family val="3"/>
      <charset val="128"/>
    </font>
    <font>
      <b/>
      <sz val="10"/>
      <color theme="1"/>
      <name val="ＭＳ Ｐゴシック"/>
      <family val="2"/>
      <charset val="128"/>
      <scheme val="minor"/>
    </font>
    <font>
      <b/>
      <sz val="10"/>
      <color theme="1"/>
      <name val="Meiryo UI"/>
      <family val="3"/>
    </font>
    <font>
      <sz val="10"/>
      <color rgb="FFFF0000"/>
      <name val="Meiryo UI"/>
      <family val="3"/>
    </font>
    <font>
      <sz val="10"/>
      <color rgb="FFFF0000"/>
      <name val="Meiryo UI"/>
      <family val="3"/>
      <charset val="128"/>
    </font>
    <font>
      <sz val="10"/>
      <color theme="0" tint="-0.249977111117893"/>
      <name val="Meiryo UI"/>
      <family val="3"/>
      <charset val="128"/>
    </font>
    <font>
      <sz val="11"/>
      <color theme="0" tint="-0.249977111117893"/>
      <name val="Meiryo UI"/>
      <family val="3"/>
      <charset val="128"/>
    </font>
    <font>
      <b/>
      <sz val="11"/>
      <color theme="0" tint="-0.249977111117893"/>
      <name val="Meiryo UI"/>
      <family val="3"/>
      <charset val="128"/>
    </font>
    <font>
      <sz val="11"/>
      <color theme="6"/>
      <name val="Meiryo UI"/>
      <family val="3"/>
    </font>
    <font>
      <b/>
      <sz val="11"/>
      <color rgb="FF7030A0"/>
      <name val="Meiryo UI"/>
      <family val="3"/>
      <charset val="128"/>
    </font>
    <font>
      <sz val="10"/>
      <color theme="1"/>
      <name val="Meiryo UI"/>
      <family val="3"/>
    </font>
    <font>
      <sz val="10"/>
      <name val="Meiryo UI"/>
      <family val="3"/>
    </font>
    <font>
      <sz val="10"/>
      <color theme="0" tint="-0.14999847407452621"/>
      <name val="Meiryo UI"/>
      <family val="3"/>
      <charset val="128"/>
    </font>
    <font>
      <sz val="11"/>
      <color theme="0" tint="-0.14999847407452621"/>
      <name val="Meiryo UI"/>
      <family val="3"/>
      <charset val="128"/>
    </font>
    <font>
      <b/>
      <sz val="11"/>
      <color theme="0" tint="-0.14999847407452621"/>
      <name val="Meiryo UI"/>
      <family val="3"/>
      <charset val="128"/>
    </font>
    <font>
      <b/>
      <sz val="12"/>
      <color theme="0"/>
      <name val="Meiryo UI"/>
      <family val="3"/>
      <charset val="128"/>
    </font>
    <font>
      <sz val="10"/>
      <color theme="3" tint="0.39997558519241921"/>
      <name val="Meiryo UI"/>
      <family val="3"/>
      <charset val="128"/>
    </font>
    <font>
      <sz val="8"/>
      <color rgb="FFFF0000"/>
      <name val="Meiryo UI"/>
      <family val="3"/>
      <charset val="128"/>
    </font>
    <font>
      <sz val="9"/>
      <color rgb="FFFF0000"/>
      <name val="Meiryo UI"/>
      <family val="3"/>
      <charset val="128"/>
    </font>
    <font>
      <strike/>
      <sz val="10"/>
      <color rgb="FF8BE1FF"/>
      <name val="Meiryo UI"/>
      <family val="3"/>
      <charset val="128"/>
    </font>
    <font>
      <sz val="10"/>
      <color theme="0" tint="-0.249977111117893"/>
      <name val="Meiryo UI"/>
      <family val="3"/>
    </font>
    <font>
      <strike/>
      <sz val="10"/>
      <color theme="0" tint="-0.249977111117893"/>
      <name val="Meiryo UI"/>
      <family val="3"/>
      <charset val="128"/>
    </font>
    <font>
      <sz val="10"/>
      <color theme="0"/>
      <name val="Meiryo UI"/>
      <family val="3"/>
    </font>
    <font>
      <sz val="11"/>
      <color theme="0"/>
      <name val="Meiryo UI"/>
      <family val="3"/>
      <charset val="128"/>
    </font>
    <font>
      <sz val="11"/>
      <color theme="0"/>
      <name val="Meiryo UI"/>
      <family val="3"/>
    </font>
    <font>
      <sz val="10"/>
      <color theme="0"/>
      <name val="ＭＳ Ｐゴシック"/>
      <family val="2"/>
      <charset val="128"/>
      <scheme val="minor"/>
    </font>
    <font>
      <sz val="10"/>
      <color theme="0"/>
      <name val="Meiryo UI"/>
      <family val="3"/>
      <charset val="128"/>
    </font>
    <font>
      <sz val="18"/>
      <name val="Arial"/>
      <family val="2"/>
    </font>
    <font>
      <b/>
      <sz val="10"/>
      <color rgb="FFFFFFFF"/>
      <name val="Meiryo UI"/>
      <family val="3"/>
      <charset val="128"/>
    </font>
    <font>
      <sz val="10"/>
      <color rgb="FF000000"/>
      <name val="Meiryo UI"/>
      <family val="3"/>
      <charset val="128"/>
    </font>
    <font>
      <b/>
      <u/>
      <sz val="10"/>
      <color rgb="FF000000"/>
      <name val="Meiryo UI"/>
      <family val="3"/>
      <charset val="128"/>
    </font>
    <font>
      <sz val="14"/>
      <color rgb="FF000000"/>
      <name val="Meiryo UI"/>
      <family val="3"/>
      <charset val="128"/>
    </font>
    <font>
      <u/>
      <sz val="11"/>
      <color theme="10"/>
      <name val="ＭＳ Ｐゴシック"/>
      <family val="2"/>
      <charset val="128"/>
      <scheme val="minor"/>
    </font>
    <font>
      <b/>
      <sz val="11"/>
      <color rgb="FFFF0000"/>
      <name val="Meiryo UI"/>
      <family val="3"/>
      <charset val="128"/>
    </font>
    <font>
      <strike/>
      <sz val="10"/>
      <name val="Meiryo UI"/>
      <family val="3"/>
      <charset val="128"/>
    </font>
    <font>
      <sz val="11"/>
      <color rgb="FF0000FF"/>
      <name val="Meiryo UI"/>
      <family val="3"/>
      <charset val="128"/>
    </font>
    <font>
      <sz val="10"/>
      <color rgb="FF0000FF"/>
      <name val="Meiryo UI"/>
      <family val="3"/>
      <charset val="128"/>
    </font>
    <font>
      <sz val="11"/>
      <color rgb="FF0000FF"/>
      <name val="Meiryo UI"/>
      <family val="3"/>
    </font>
    <font>
      <vertAlign val="superscript"/>
      <sz val="11"/>
      <color rgb="FF0000FF"/>
      <name val="Meiryo UI"/>
      <family val="3"/>
      <charset val="128"/>
    </font>
    <font>
      <vertAlign val="superscript"/>
      <sz val="11"/>
      <color theme="0" tint="-0.249977111117893"/>
      <name val="Meiryo UI"/>
      <family val="3"/>
      <charset val="128"/>
    </font>
    <font>
      <sz val="11"/>
      <color theme="0" tint="-0.14999847407452621"/>
      <name val="Meiryo UI"/>
      <family val="3"/>
    </font>
    <font>
      <b/>
      <sz val="11"/>
      <color rgb="FF0000FF"/>
      <name val="Meiryo UI"/>
      <family val="3"/>
      <charset val="128"/>
    </font>
    <font>
      <b/>
      <strike/>
      <sz val="11"/>
      <color rgb="FF0000FF"/>
      <name val="Meiryo UI"/>
      <family val="3"/>
      <charset val="128"/>
    </font>
    <font>
      <b/>
      <u/>
      <sz val="9.35"/>
      <name val="Meiryo UI"/>
      <family val="3"/>
      <charset val="128"/>
    </font>
    <font>
      <sz val="11"/>
      <color theme="0" tint="-0.249977111117893"/>
      <name val="Meiryo UI"/>
      <family val="3"/>
    </font>
    <font>
      <b/>
      <sz val="11"/>
      <name val="Meiryo UI"/>
      <family val="3"/>
      <charset val="128"/>
    </font>
    <font>
      <sz val="11"/>
      <color theme="6"/>
      <name val="Meiryo UI"/>
      <family val="3"/>
      <charset val="128"/>
    </font>
    <font>
      <strike/>
      <sz val="11"/>
      <color rgb="FFFF0000"/>
      <name val="Meiryo UI"/>
      <family val="3"/>
      <charset val="128"/>
    </font>
    <font>
      <strike/>
      <sz val="11"/>
      <color theme="1"/>
      <name val="Meiryo UI"/>
      <family val="3"/>
      <charset val="128"/>
    </font>
    <font>
      <sz val="10"/>
      <color rgb="FF8BE1FF"/>
      <name val="Meiryo UI"/>
      <family val="3"/>
      <charset val="128"/>
    </font>
    <font>
      <sz val="11"/>
      <color rgb="FF8BE1FF"/>
      <name val="Meiryo UI"/>
      <family val="3"/>
      <charset val="128"/>
    </font>
    <font>
      <sz val="10"/>
      <color rgb="FF9BBB59"/>
      <name val="Meiryo UI"/>
      <family val="3"/>
      <charset val="128"/>
    </font>
    <font>
      <strike/>
      <sz val="10"/>
      <color theme="6"/>
      <name val="Meiryo UI"/>
      <family val="3"/>
      <charset val="128"/>
    </font>
    <font>
      <strike/>
      <sz val="10"/>
      <color rgb="FFFF0000"/>
      <name val="Meiryo UI"/>
      <family val="3"/>
      <charset val="128"/>
    </font>
    <font>
      <sz val="10"/>
      <color theme="6"/>
      <name val="Meiryo UI"/>
      <family val="3"/>
      <charset val="128"/>
    </font>
    <font>
      <sz val="10"/>
      <color rgb="FF00B0F0"/>
      <name val="Meiryo UI"/>
      <family val="3"/>
      <charset val="128"/>
    </font>
    <font>
      <vertAlign val="superscript"/>
      <sz val="10"/>
      <color rgb="FF00B0F0"/>
      <name val="Meiryo UI"/>
      <family val="3"/>
      <charset val="128"/>
    </font>
    <font>
      <sz val="11"/>
      <color rgb="FF00B0F0"/>
      <name val="Meiryo UI"/>
      <family val="3"/>
      <charset val="128"/>
    </font>
    <font>
      <vertAlign val="superscript"/>
      <sz val="11"/>
      <name val="Meiryo UI"/>
      <family val="3"/>
      <charset val="128"/>
    </font>
    <font>
      <sz val="8"/>
      <color rgb="FF000000"/>
      <name val="Meiryo UI"/>
      <family val="3"/>
      <charset val="128"/>
    </font>
    <font>
      <b/>
      <sz val="8"/>
      <color rgb="FF000000"/>
      <name val="Meiryo UI"/>
      <family val="3"/>
      <charset val="128"/>
    </font>
    <font>
      <sz val="9"/>
      <color theme="0" tint="-0.249977111117893"/>
      <name val="Meiryo UI"/>
      <family val="3"/>
    </font>
    <font>
      <strike/>
      <sz val="11"/>
      <color theme="6"/>
      <name val="Meiryo UI"/>
      <family val="3"/>
      <charset val="128"/>
    </font>
    <font>
      <sz val="10"/>
      <color rgb="FFFF0000"/>
      <name val="Meiryo UI"/>
      <family val="2"/>
      <charset val="128"/>
    </font>
    <font>
      <sz val="11"/>
      <color rgb="FF000000"/>
      <name val="ＭＳ Ｐゴシック"/>
      <family val="2"/>
      <scheme val="minor"/>
    </font>
    <font>
      <strike/>
      <sz val="10"/>
      <color rgb="FF9BBB59"/>
      <name val="Meiryo UI"/>
      <family val="3"/>
      <charset val="128"/>
    </font>
    <font>
      <u/>
      <sz val="10"/>
      <color rgb="FFFF0000"/>
      <name val="Meiryo UI"/>
      <family val="3"/>
      <charset val="128"/>
    </font>
    <font>
      <u/>
      <sz val="10"/>
      <color theme="0" tint="-0.249977111117893"/>
      <name val="Meiryo UI"/>
      <family val="3"/>
      <charset val="128"/>
    </font>
    <font>
      <sz val="10"/>
      <color theme="0" tint="-0.14999847407452621"/>
      <name val="Meiryo UI"/>
      <family val="3"/>
    </font>
    <font>
      <b/>
      <sz val="11"/>
      <color theme="0" tint="-0.14999847407452621"/>
      <name val="Meiryo UI"/>
      <family val="3"/>
    </font>
    <font>
      <vertAlign val="superscript"/>
      <sz val="10"/>
      <color rgb="FFFF0000"/>
      <name val="Meiryo UI"/>
      <family val="3"/>
      <charset val="128"/>
    </font>
    <font>
      <sz val="16"/>
      <color theme="1"/>
      <name val="Meiryo UI"/>
      <family val="3"/>
      <charset val="128"/>
    </font>
    <font>
      <sz val="12"/>
      <color rgb="FF000000"/>
      <name val="Meiryo UI"/>
      <family val="3"/>
    </font>
    <font>
      <strike/>
      <sz val="11"/>
      <color rgb="FF9BBB59"/>
      <name val="Meiryo UI"/>
      <family val="3"/>
      <charset val="128"/>
    </font>
    <font>
      <sz val="11"/>
      <color rgb="FF9BBB59"/>
      <name val="Meiryo UI"/>
      <family val="3"/>
      <charset val="128"/>
    </font>
    <font>
      <strike/>
      <sz val="11"/>
      <color rgb="FF8BE1FF"/>
      <name val="Meiryo UI"/>
      <family val="3"/>
      <charset val="128"/>
    </font>
    <font>
      <sz val="10"/>
      <color rgb="FF0000FF"/>
      <name val="Meiryo UI"/>
      <family val="3"/>
    </font>
    <font>
      <b/>
      <sz val="10"/>
      <color rgb="FFFF0000"/>
      <name val="Meiryo UI"/>
      <family val="3"/>
      <charset val="128"/>
    </font>
    <font>
      <b/>
      <sz val="10"/>
      <color rgb="FF0000FF"/>
      <name val="Meiryo UI"/>
      <family val="3"/>
      <charset val="128"/>
    </font>
    <font>
      <b/>
      <sz val="10"/>
      <name val="Meiryo UI"/>
      <family val="3"/>
    </font>
    <font>
      <b/>
      <sz val="10"/>
      <color rgb="FF0000FF"/>
      <name val="Meiryo UI"/>
      <family val="3"/>
    </font>
    <font>
      <b/>
      <sz val="10"/>
      <color rgb="FFFF0000"/>
      <name val="Meiryo UI"/>
      <family val="3"/>
    </font>
    <font>
      <b/>
      <sz val="11"/>
      <color theme="1"/>
      <name val="Meiryo UI"/>
      <family val="3"/>
    </font>
    <font>
      <sz val="11"/>
      <color theme="0" tint="-0.499984740745262"/>
      <name val="Meiryo UI"/>
      <family val="3"/>
      <charset val="128"/>
    </font>
    <font>
      <b/>
      <sz val="11"/>
      <color theme="0" tint="-0.499984740745262"/>
      <name val="Meiryo UI"/>
      <family val="3"/>
      <charset val="128"/>
    </font>
    <font>
      <sz val="11"/>
      <color rgb="FF000000"/>
      <name val="Meiryo UI"/>
      <family val="3"/>
      <charset val="128"/>
    </font>
    <font>
      <strike/>
      <sz val="11"/>
      <color rgb="FF000000"/>
      <name val="Meiryo UI"/>
      <family val="3"/>
      <charset val="128"/>
    </font>
    <font>
      <b/>
      <sz val="11"/>
      <color rgb="FF000000"/>
      <name val="Meiryo UI"/>
      <family val="3"/>
      <charset val="128"/>
    </font>
    <font>
      <strike/>
      <sz val="11"/>
      <color rgb="FF0000FF"/>
      <name val="Meiryo UI"/>
      <family val="3"/>
      <charset val="128"/>
    </font>
    <font>
      <strike/>
      <sz val="11"/>
      <color rgb="FF000000"/>
      <name val="Meiryo UI"/>
      <family val="3"/>
    </font>
    <font>
      <sz val="10.5"/>
      <color rgb="FF000000"/>
      <name val="Meiryo UI"/>
      <family val="3"/>
      <charset val="128"/>
    </font>
    <font>
      <b/>
      <sz val="11"/>
      <name val="Meiryo UI"/>
      <family val="3"/>
    </font>
    <font>
      <b/>
      <sz val="11"/>
      <color theme="1"/>
      <name val="ＭＳ Ｐゴシック"/>
      <family val="3"/>
      <charset val="128"/>
      <scheme val="minor"/>
    </font>
  </fonts>
  <fills count="17">
    <fill>
      <patternFill patternType="none"/>
    </fill>
    <fill>
      <patternFill patternType="gray125"/>
    </fill>
    <fill>
      <patternFill patternType="solid">
        <fgColor theme="3"/>
        <bgColor indexed="64"/>
      </patternFill>
    </fill>
    <fill>
      <patternFill patternType="solid">
        <fgColor theme="2" tint="-9.9978637043366805E-2"/>
        <bgColor indexed="64"/>
      </patternFill>
    </fill>
    <fill>
      <patternFill patternType="solid">
        <fgColor theme="9" tint="-0.249977111117893"/>
        <bgColor indexed="64"/>
      </patternFill>
    </fill>
    <fill>
      <patternFill patternType="solid">
        <fgColor theme="5" tint="-0.499984740745262"/>
        <bgColor indexed="64"/>
      </patternFill>
    </fill>
    <fill>
      <patternFill patternType="solid">
        <fgColor theme="6" tint="-0.49998474074526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376092"/>
        <bgColor indexed="64"/>
      </patternFill>
    </fill>
    <fill>
      <patternFill patternType="solid">
        <fgColor theme="0"/>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FFF99"/>
        <bgColor indexed="64"/>
      </patternFill>
    </fill>
    <fill>
      <patternFill patternType="solid">
        <fgColor theme="0" tint="-0.249977111117893"/>
        <bgColor indexed="64"/>
      </patternFill>
    </fill>
    <fill>
      <patternFill patternType="solid">
        <fgColor theme="3"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theme="1"/>
      </left>
      <right/>
      <top style="thin">
        <color theme="1"/>
      </top>
      <bottom style="thin">
        <color theme="1"/>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s>
  <cellStyleXfs count="76">
    <xf numFmtId="0" fontId="0" fillId="0" borderId="0">
      <alignment vertical="center"/>
    </xf>
    <xf numFmtId="0" fontId="1" fillId="0" borderId="0">
      <alignment vertical="center"/>
    </xf>
    <xf numFmtId="0" fontId="9" fillId="0" borderId="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 fillId="0" borderId="0"/>
    <xf numFmtId="0" fontId="54" fillId="0" borderId="0" applyNumberFormat="0" applyFill="0" applyBorder="0" applyAlignment="0" applyProtection="0">
      <alignment vertical="center"/>
    </xf>
  </cellStyleXfs>
  <cellXfs count="513">
    <xf numFmtId="0" fontId="0" fillId="0" borderId="0" xfId="0">
      <alignment vertical="center"/>
    </xf>
    <xf numFmtId="0" fontId="5" fillId="0" borderId="1" xfId="0" applyFont="1" applyBorder="1" applyAlignment="1">
      <alignment horizontal="left" vertical="top" wrapText="1"/>
    </xf>
    <xf numFmtId="0" fontId="7" fillId="0" borderId="1" xfId="0" applyFont="1" applyBorder="1" applyAlignment="1">
      <alignment horizontal="left" vertical="top" wrapText="1"/>
    </xf>
    <xf numFmtId="0" fontId="10" fillId="0" borderId="1" xfId="0" applyFont="1" applyBorder="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left" vertical="top"/>
    </xf>
    <xf numFmtId="0" fontId="11" fillId="0" borderId="1" xfId="0" applyFont="1" applyBorder="1" applyAlignment="1">
      <alignment horizontal="left" vertical="top" wrapText="1"/>
    </xf>
    <xf numFmtId="0" fontId="4" fillId="0" borderId="0" xfId="0" applyFont="1" applyAlignment="1">
      <alignment vertical="top"/>
    </xf>
    <xf numFmtId="14" fontId="10" fillId="0" borderId="1" xfId="0" applyNumberFormat="1" applyFont="1" applyBorder="1" applyAlignment="1">
      <alignment horizontal="left" vertical="top" wrapText="1"/>
    </xf>
    <xf numFmtId="0" fontId="12" fillId="0" borderId="0" xfId="0" applyFont="1" applyAlignment="1">
      <alignment vertical="top"/>
    </xf>
    <xf numFmtId="0" fontId="3" fillId="5"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3" fillId="6" borderId="1" xfId="0" applyFont="1" applyFill="1" applyBorder="1" applyAlignment="1">
      <alignment horizontal="center" vertical="top" wrapText="1"/>
    </xf>
    <xf numFmtId="0" fontId="3" fillId="2" borderId="1" xfId="0" applyFont="1" applyFill="1" applyBorder="1" applyAlignment="1">
      <alignment horizontal="center" vertical="top"/>
    </xf>
    <xf numFmtId="0" fontId="3" fillId="2" borderId="1" xfId="0" applyFont="1" applyFill="1" applyBorder="1" applyAlignment="1">
      <alignment horizontal="center" vertical="top" wrapText="1"/>
    </xf>
    <xf numFmtId="0" fontId="15" fillId="0" borderId="0" xfId="0" applyFont="1">
      <alignment vertical="center"/>
    </xf>
    <xf numFmtId="0" fontId="4" fillId="3" borderId="1" xfId="0" applyFont="1" applyFill="1" applyBorder="1" applyAlignment="1">
      <alignment horizontal="left" vertical="top" wrapText="1"/>
    </xf>
    <xf numFmtId="49" fontId="4" fillId="3" borderId="1" xfId="0" applyNumberFormat="1" applyFont="1" applyFill="1" applyBorder="1" applyAlignment="1">
      <alignment horizontal="left" vertical="top" wrapText="1"/>
    </xf>
    <xf numFmtId="0" fontId="3" fillId="5" borderId="2" xfId="0" applyFont="1" applyFill="1" applyBorder="1" applyAlignment="1">
      <alignment horizontal="left" vertical="top"/>
    </xf>
    <xf numFmtId="0" fontId="3" fillId="4" borderId="3" xfId="0" applyFont="1" applyFill="1" applyBorder="1" applyAlignment="1">
      <alignment horizontal="left" vertical="top"/>
    </xf>
    <xf numFmtId="0" fontId="3" fillId="4" borderId="4" xfId="0" applyFont="1" applyFill="1" applyBorder="1" applyAlignment="1">
      <alignment horizontal="left" vertical="top"/>
    </xf>
    <xf numFmtId="0" fontId="3" fillId="6" borderId="3" xfId="0" applyFont="1" applyFill="1" applyBorder="1" applyAlignment="1">
      <alignment horizontal="left" vertical="top"/>
    </xf>
    <xf numFmtId="0" fontId="3" fillId="6" borderId="2" xfId="0" applyFont="1" applyFill="1" applyBorder="1" applyAlignment="1">
      <alignment horizontal="left" vertical="top"/>
    </xf>
    <xf numFmtId="0" fontId="12" fillId="3" borderId="1" xfId="0" applyFont="1" applyFill="1" applyBorder="1" applyAlignment="1">
      <alignment horizontal="left" vertical="top" wrapText="1"/>
    </xf>
    <xf numFmtId="0" fontId="4" fillId="3" borderId="1" xfId="0" applyFont="1" applyFill="1" applyBorder="1" applyAlignment="1">
      <alignment horizontal="left" vertical="top"/>
    </xf>
    <xf numFmtId="49" fontId="3" fillId="5" borderId="1" xfId="0" applyNumberFormat="1" applyFont="1" applyFill="1" applyBorder="1" applyAlignment="1">
      <alignment horizontal="center" vertical="top" wrapText="1"/>
    </xf>
    <xf numFmtId="0" fontId="12" fillId="0" borderId="0" xfId="0" applyFont="1" applyAlignment="1">
      <alignment horizontal="center" vertical="top"/>
    </xf>
    <xf numFmtId="0" fontId="3" fillId="4" borderId="2" xfId="0" applyFont="1" applyFill="1" applyBorder="1" applyAlignment="1">
      <alignment horizontal="left" vertical="top"/>
    </xf>
    <xf numFmtId="176" fontId="3" fillId="5" borderId="2" xfId="0" applyNumberFormat="1" applyFont="1" applyFill="1" applyBorder="1" applyAlignment="1">
      <alignment horizontal="left" vertical="top"/>
    </xf>
    <xf numFmtId="176" fontId="3" fillId="5" borderId="1" xfId="0" applyNumberFormat="1" applyFont="1" applyFill="1" applyBorder="1" applyAlignment="1">
      <alignment horizontal="center" vertical="top" wrapText="1"/>
    </xf>
    <xf numFmtId="176" fontId="4" fillId="0" borderId="0" xfId="0" applyNumberFormat="1" applyFont="1" applyAlignment="1">
      <alignment horizontal="left" vertical="top"/>
    </xf>
    <xf numFmtId="0" fontId="4" fillId="3" borderId="1" xfId="0" applyFont="1" applyFill="1" applyBorder="1">
      <alignment vertical="center"/>
    </xf>
    <xf numFmtId="49" fontId="6" fillId="0" borderId="0" xfId="0" applyNumberFormat="1" applyFont="1" applyAlignment="1">
      <alignment horizontal="left" vertical="top"/>
    </xf>
    <xf numFmtId="14" fontId="4" fillId="0" borderId="1" xfId="0" applyNumberFormat="1" applyFont="1" applyBorder="1" applyAlignment="1">
      <alignment horizontal="left" vertical="top" wrapText="1"/>
    </xf>
    <xf numFmtId="176" fontId="4" fillId="0" borderId="1" xfId="0" applyNumberFormat="1" applyFont="1" applyBorder="1" applyAlignment="1">
      <alignment horizontal="left" vertical="top" wrapText="1"/>
    </xf>
    <xf numFmtId="0" fontId="14" fillId="0" borderId="1" xfId="0" applyFont="1" applyBorder="1" applyAlignment="1">
      <alignment horizontal="left" vertical="top" wrapText="1"/>
    </xf>
    <xf numFmtId="0" fontId="16" fillId="0" borderId="0" xfId="0" applyFont="1" applyAlignment="1">
      <alignment horizontal="right" vertical="center" wrapText="1" readingOrder="1"/>
    </xf>
    <xf numFmtId="0" fontId="8" fillId="5" borderId="1" xfId="0" applyFont="1" applyFill="1" applyBorder="1" applyAlignment="1">
      <alignment horizontal="center" vertical="top" wrapText="1"/>
    </xf>
    <xf numFmtId="0" fontId="3" fillId="5" borderId="4" xfId="0" applyFont="1" applyFill="1" applyBorder="1" applyAlignment="1">
      <alignment horizontal="left" vertical="top"/>
    </xf>
    <xf numFmtId="0" fontId="3" fillId="6" borderId="4" xfId="0" applyFont="1" applyFill="1" applyBorder="1" applyAlignment="1">
      <alignment horizontal="left" vertical="top"/>
    </xf>
    <xf numFmtId="49" fontId="3" fillId="5" borderId="1" xfId="0" applyNumberFormat="1" applyFont="1" applyFill="1" applyBorder="1" applyAlignment="1">
      <alignment horizontal="center" vertical="top"/>
    </xf>
    <xf numFmtId="49" fontId="4" fillId="0" borderId="0" xfId="0" applyNumberFormat="1" applyFont="1" applyAlignment="1">
      <alignment horizontal="left" vertical="top"/>
    </xf>
    <xf numFmtId="49" fontId="3" fillId="5" borderId="3" xfId="0" applyNumberFormat="1" applyFont="1" applyFill="1" applyBorder="1" applyAlignment="1">
      <alignment horizontal="left" vertical="top"/>
    </xf>
    <xf numFmtId="0" fontId="8" fillId="5" borderId="2" xfId="0" applyFont="1" applyFill="1" applyBorder="1" applyAlignment="1">
      <alignment horizontal="left" vertical="top"/>
    </xf>
    <xf numFmtId="0" fontId="17" fillId="0" borderId="0" xfId="0" applyFont="1" applyAlignment="1">
      <alignment vertical="top"/>
    </xf>
    <xf numFmtId="0" fontId="18" fillId="0" borderId="0" xfId="0" applyFont="1" applyAlignment="1">
      <alignment vertical="top"/>
    </xf>
    <xf numFmtId="49" fontId="17" fillId="0" borderId="0" xfId="0" applyNumberFormat="1" applyFont="1" applyAlignment="1">
      <alignment horizontal="left" vertical="top"/>
    </xf>
    <xf numFmtId="0" fontId="17" fillId="0" borderId="0" xfId="0" applyFont="1" applyAlignment="1">
      <alignment horizontal="left" vertical="top"/>
    </xf>
    <xf numFmtId="0" fontId="17" fillId="0" borderId="0" xfId="0" applyFont="1" applyAlignment="1">
      <alignment horizontal="left" vertical="top" wrapText="1"/>
    </xf>
    <xf numFmtId="0" fontId="19" fillId="0" borderId="0" xfId="0" applyFont="1">
      <alignment vertical="center"/>
    </xf>
    <xf numFmtId="0" fontId="18" fillId="0" borderId="0" xfId="0" applyFont="1" applyAlignment="1">
      <alignment vertical="top" wrapText="1"/>
    </xf>
    <xf numFmtId="0" fontId="20" fillId="0" borderId="0" xfId="0" applyFont="1" applyAlignment="1">
      <alignment vertical="top"/>
    </xf>
    <xf numFmtId="0" fontId="21" fillId="0" borderId="0" xfId="0" applyFont="1" applyAlignment="1">
      <alignment vertical="top"/>
    </xf>
    <xf numFmtId="49" fontId="22" fillId="5" borderId="1" xfId="0" applyNumberFormat="1" applyFont="1" applyFill="1" applyBorder="1" applyAlignment="1">
      <alignment horizontal="left" vertical="top"/>
    </xf>
    <xf numFmtId="49" fontId="22" fillId="5" borderId="2" xfId="0" applyNumberFormat="1" applyFont="1" applyFill="1" applyBorder="1" applyAlignment="1">
      <alignment horizontal="left" vertical="top"/>
    </xf>
    <xf numFmtId="0" fontId="22" fillId="5" borderId="2" xfId="0" applyFont="1" applyFill="1" applyBorder="1" applyAlignment="1">
      <alignment horizontal="left" vertical="top"/>
    </xf>
    <xf numFmtId="0" fontId="8" fillId="5" borderId="3" xfId="0" applyFont="1" applyFill="1" applyBorder="1" applyAlignment="1">
      <alignment horizontal="left" vertical="top"/>
    </xf>
    <xf numFmtId="0" fontId="22" fillId="5" borderId="4" xfId="0" applyFont="1" applyFill="1" applyBorder="1" applyAlignment="1">
      <alignment horizontal="left" vertical="top"/>
    </xf>
    <xf numFmtId="0" fontId="22" fillId="6" borderId="2" xfId="0" applyFont="1" applyFill="1" applyBorder="1" applyAlignment="1">
      <alignment horizontal="left" vertical="top"/>
    </xf>
    <xf numFmtId="0" fontId="22" fillId="6" borderId="4" xfId="0" applyFont="1" applyFill="1" applyBorder="1" applyAlignment="1">
      <alignment horizontal="left" vertical="top"/>
    </xf>
    <xf numFmtId="0" fontId="22" fillId="2" borderId="3" xfId="0" applyFont="1" applyFill="1" applyBorder="1" applyAlignment="1">
      <alignment horizontal="left" vertical="top"/>
    </xf>
    <xf numFmtId="0" fontId="22" fillId="2" borderId="2" xfId="0" applyFont="1" applyFill="1" applyBorder="1" applyAlignment="1">
      <alignment horizontal="left" vertical="top" wrapText="1"/>
    </xf>
    <xf numFmtId="0" fontId="22" fillId="2" borderId="2" xfId="0" applyFont="1" applyFill="1" applyBorder="1" applyAlignment="1">
      <alignment horizontal="left" vertical="top"/>
    </xf>
    <xf numFmtId="0" fontId="22" fillId="2" borderId="4" xfId="0" applyFont="1" applyFill="1" applyBorder="1" applyAlignment="1">
      <alignment horizontal="left" vertical="top"/>
    </xf>
    <xf numFmtId="0" fontId="3" fillId="2" borderId="4" xfId="0" applyFont="1" applyFill="1" applyBorder="1" applyAlignment="1">
      <alignment horizontal="left" vertical="top"/>
    </xf>
    <xf numFmtId="0" fontId="3" fillId="2" borderId="1" xfId="0" applyFont="1" applyFill="1" applyBorder="1" applyAlignment="1">
      <alignment horizontal="left" vertical="top"/>
    </xf>
    <xf numFmtId="0" fontId="23" fillId="0" borderId="0" xfId="0" applyFont="1">
      <alignment vertical="center"/>
    </xf>
    <xf numFmtId="0" fontId="21" fillId="7" borderId="0" xfId="0" applyFont="1" applyFill="1" applyAlignment="1">
      <alignment vertical="top"/>
    </xf>
    <xf numFmtId="0" fontId="21" fillId="7" borderId="0" xfId="0" applyFont="1" applyFill="1" applyAlignment="1">
      <alignment vertical="top" wrapText="1"/>
    </xf>
    <xf numFmtId="0" fontId="20" fillId="0" borderId="0" xfId="0" applyFont="1" applyAlignment="1">
      <alignment horizontal="center" vertical="top"/>
    </xf>
    <xf numFmtId="0" fontId="21" fillId="0" borderId="0" xfId="0" applyFont="1" applyAlignment="1">
      <alignment horizontal="center" vertical="top" wrapText="1"/>
    </xf>
    <xf numFmtId="49" fontId="22" fillId="5" borderId="1" xfId="0" applyNumberFormat="1" applyFont="1" applyFill="1" applyBorder="1" applyAlignment="1">
      <alignment horizontal="center" vertical="top" wrapText="1"/>
    </xf>
    <xf numFmtId="49" fontId="22" fillId="5" borderId="1" xfId="0" applyNumberFormat="1" applyFont="1" applyFill="1" applyBorder="1" applyAlignment="1">
      <alignment horizontal="center" vertical="top"/>
    </xf>
    <xf numFmtId="0" fontId="22" fillId="5" borderId="1" xfId="0" applyFont="1" applyFill="1" applyBorder="1" applyAlignment="1">
      <alignment horizontal="center" vertical="top" wrapText="1"/>
    </xf>
    <xf numFmtId="0" fontId="22" fillId="6" borderId="1" xfId="0" applyFont="1" applyFill="1" applyBorder="1" applyAlignment="1">
      <alignment horizontal="center" vertical="top" wrapText="1"/>
    </xf>
    <xf numFmtId="0" fontId="22" fillId="2" borderId="1" xfId="0" applyFont="1" applyFill="1" applyBorder="1" applyAlignment="1">
      <alignment horizontal="center" vertical="top"/>
    </xf>
    <xf numFmtId="0" fontId="22" fillId="2" borderId="1" xfId="0" applyFont="1" applyFill="1" applyBorder="1" applyAlignment="1">
      <alignment horizontal="center" vertical="top" wrapText="1"/>
    </xf>
    <xf numFmtId="0" fontId="21" fillId="7" borderId="1" xfId="0" applyFont="1" applyFill="1" applyBorder="1" applyAlignment="1">
      <alignment horizontal="center" vertical="top" wrapText="1"/>
    </xf>
    <xf numFmtId="0" fontId="24" fillId="0" borderId="0" xfId="0" applyFont="1" applyAlignment="1">
      <alignment horizontal="center" vertical="top"/>
    </xf>
    <xf numFmtId="14" fontId="18" fillId="0" borderId="0" xfId="0" applyNumberFormat="1" applyFont="1" applyAlignment="1">
      <alignment vertical="top" wrapText="1"/>
    </xf>
    <xf numFmtId="49" fontId="17" fillId="0" borderId="1" xfId="0" applyNumberFormat="1" applyFont="1" applyBorder="1" applyAlignment="1">
      <alignment horizontal="left" vertical="top" wrapText="1"/>
    </xf>
    <xf numFmtId="49" fontId="17" fillId="8" borderId="1" xfId="0" applyNumberFormat="1" applyFont="1" applyFill="1" applyBorder="1" applyAlignment="1">
      <alignment horizontal="left" vertical="top"/>
    </xf>
    <xf numFmtId="0" fontId="17" fillId="0" borderId="1" xfId="0" applyFont="1" applyBorder="1" applyAlignment="1">
      <alignment horizontal="left" vertical="top" wrapText="1"/>
    </xf>
    <xf numFmtId="0" fontId="25" fillId="0" borderId="1" xfId="0" applyFont="1" applyBorder="1" applyAlignment="1">
      <alignment horizontal="left" vertical="top" wrapText="1"/>
    </xf>
    <xf numFmtId="0" fontId="26" fillId="0" borderId="1" xfId="0" applyFont="1" applyBorder="1" applyAlignment="1">
      <alignment horizontal="left" vertical="top" wrapText="1"/>
    </xf>
    <xf numFmtId="0" fontId="18" fillId="0" borderId="1" xfId="0" applyFont="1" applyBorder="1" applyAlignment="1">
      <alignment horizontal="left" vertical="top" wrapText="1"/>
    </xf>
    <xf numFmtId="0" fontId="26" fillId="0" borderId="1" xfId="0" applyFont="1" applyBorder="1" applyAlignment="1">
      <alignment horizontal="left" vertical="top"/>
    </xf>
    <xf numFmtId="0" fontId="10" fillId="0" borderId="1" xfId="0" applyFont="1" applyBorder="1" applyAlignment="1">
      <alignment horizontal="left" vertical="top"/>
    </xf>
    <xf numFmtId="0" fontId="18" fillId="0" borderId="1" xfId="0" applyFont="1" applyBorder="1" applyAlignment="1">
      <alignment vertical="top" wrapText="1"/>
    </xf>
    <xf numFmtId="0" fontId="27" fillId="0" borderId="1" xfId="0" applyFont="1" applyBorder="1" applyAlignment="1">
      <alignment horizontal="left" vertical="top" wrapText="1"/>
    </xf>
    <xf numFmtId="0" fontId="28" fillId="0" borderId="1" xfId="0" applyFont="1" applyBorder="1" applyAlignment="1">
      <alignment horizontal="left" vertical="top" wrapText="1"/>
    </xf>
    <xf numFmtId="0" fontId="29" fillId="0" borderId="1" xfId="0" applyFont="1" applyBorder="1" applyAlignment="1">
      <alignment horizontal="left" vertical="top" wrapText="1"/>
    </xf>
    <xf numFmtId="0" fontId="5" fillId="0" borderId="0" xfId="0" applyFont="1" applyAlignment="1">
      <alignment vertical="top"/>
    </xf>
    <xf numFmtId="0" fontId="12" fillId="0" borderId="1" xfId="0" applyFont="1" applyBorder="1" applyAlignment="1">
      <alignment horizontal="left" vertical="top" wrapText="1"/>
    </xf>
    <xf numFmtId="0" fontId="4" fillId="0" borderId="1" xfId="0" applyFont="1" applyBorder="1" applyAlignment="1">
      <alignment horizontal="left" vertical="top"/>
    </xf>
    <xf numFmtId="0" fontId="4" fillId="0" borderId="1" xfId="0" applyFont="1" applyBorder="1" applyAlignment="1">
      <alignment vertical="top" wrapText="1"/>
    </xf>
    <xf numFmtId="0" fontId="30" fillId="9" borderId="1" xfId="0" applyFont="1" applyFill="1" applyBorder="1" applyAlignment="1">
      <alignment horizontal="left" vertical="top" wrapText="1"/>
    </xf>
    <xf numFmtId="0" fontId="31" fillId="0" borderId="1" xfId="0" applyFont="1" applyBorder="1" applyAlignment="1">
      <alignment horizontal="left" vertical="top" wrapText="1"/>
    </xf>
    <xf numFmtId="14" fontId="5" fillId="0" borderId="1" xfId="0" applyNumberFormat="1" applyFont="1" applyBorder="1" applyAlignment="1">
      <alignment horizontal="left" vertical="top" wrapText="1"/>
    </xf>
    <xf numFmtId="0" fontId="26" fillId="9" borderId="1" xfId="0" applyFont="1" applyFill="1" applyBorder="1" applyAlignment="1">
      <alignment horizontal="left" vertical="top" wrapText="1"/>
    </xf>
    <xf numFmtId="0" fontId="6" fillId="0" borderId="1" xfId="0" applyFont="1" applyBorder="1" applyAlignment="1">
      <alignment horizontal="left" vertical="top" wrapText="1"/>
    </xf>
    <xf numFmtId="0" fontId="5" fillId="0" borderId="0" xfId="0" applyFont="1" applyAlignment="1">
      <alignment vertical="top" wrapText="1"/>
    </xf>
    <xf numFmtId="0" fontId="4" fillId="0" borderId="0" xfId="0" applyFont="1" applyAlignment="1">
      <alignment vertical="top" wrapText="1"/>
    </xf>
    <xf numFmtId="14" fontId="28" fillId="0" borderId="1" xfId="0" applyNumberFormat="1" applyFont="1" applyBorder="1" applyAlignment="1">
      <alignment horizontal="left" vertical="top" wrapText="1"/>
    </xf>
    <xf numFmtId="0" fontId="7" fillId="0" borderId="0" xfId="0" applyFont="1" applyAlignment="1">
      <alignment vertical="top" wrapText="1"/>
    </xf>
    <xf numFmtId="49" fontId="17" fillId="0" borderId="1" xfId="0" quotePrefix="1" applyNumberFormat="1" applyFont="1" applyBorder="1" applyAlignment="1">
      <alignment horizontal="left" vertical="top" wrapText="1"/>
    </xf>
    <xf numFmtId="49" fontId="17" fillId="8" borderId="1" xfId="0" quotePrefix="1" applyNumberFormat="1" applyFont="1" applyFill="1" applyBorder="1" applyAlignment="1">
      <alignment horizontal="left" vertical="top"/>
    </xf>
    <xf numFmtId="0" fontId="32" fillId="0" borderId="1" xfId="0" applyFont="1" applyBorder="1" applyAlignment="1">
      <alignment horizontal="left" vertical="top" wrapText="1"/>
    </xf>
    <xf numFmtId="0" fontId="26" fillId="0" borderId="0" xfId="0" applyFont="1" applyAlignment="1">
      <alignment vertical="top" wrapText="1"/>
    </xf>
    <xf numFmtId="0" fontId="17" fillId="0" borderId="0" xfId="0" applyFont="1" applyAlignment="1">
      <alignment vertical="top" wrapText="1"/>
    </xf>
    <xf numFmtId="0" fontId="25" fillId="0" borderId="1" xfId="0" applyFont="1" applyBorder="1" applyAlignment="1">
      <alignment vertical="top" wrapText="1"/>
    </xf>
    <xf numFmtId="0" fontId="33" fillId="0" borderId="1" xfId="0" applyFont="1" applyBorder="1" applyAlignment="1">
      <alignment vertical="top" wrapText="1"/>
    </xf>
    <xf numFmtId="49" fontId="18" fillId="0" borderId="1" xfId="0" quotePrefix="1" applyNumberFormat="1" applyFont="1" applyBorder="1" applyAlignment="1">
      <alignment horizontal="left" vertical="top" wrapText="1"/>
    </xf>
    <xf numFmtId="49" fontId="18" fillId="8" borderId="1" xfId="0" quotePrefix="1" applyNumberFormat="1" applyFont="1" applyFill="1" applyBorder="1" applyAlignment="1">
      <alignment horizontal="left" vertical="top"/>
    </xf>
    <xf numFmtId="176" fontId="5" fillId="0" borderId="1" xfId="0" applyNumberFormat="1" applyFont="1" applyBorder="1" applyAlignment="1">
      <alignment horizontal="left" vertical="top" wrapText="1"/>
    </xf>
    <xf numFmtId="49" fontId="27" fillId="0" borderId="1" xfId="0" quotePrefix="1" applyNumberFormat="1" applyFont="1" applyBorder="1" applyAlignment="1">
      <alignment horizontal="left" vertical="top" wrapText="1"/>
    </xf>
    <xf numFmtId="49" fontId="27" fillId="8" borderId="1" xfId="0" quotePrefix="1" applyNumberFormat="1" applyFont="1" applyFill="1" applyBorder="1" applyAlignment="1">
      <alignment horizontal="left" vertical="top"/>
    </xf>
    <xf numFmtId="0" fontId="27" fillId="9" borderId="1" xfId="0" applyFont="1" applyFill="1" applyBorder="1" applyAlignment="1">
      <alignment horizontal="left" vertical="top" wrapText="1"/>
    </xf>
    <xf numFmtId="49" fontId="34" fillId="0" borderId="1" xfId="0" quotePrefix="1" applyNumberFormat="1" applyFont="1" applyBorder="1" applyAlignment="1">
      <alignment horizontal="left" vertical="top" wrapText="1"/>
    </xf>
    <xf numFmtId="49" fontId="34" fillId="8" borderId="1" xfId="0" quotePrefix="1" applyNumberFormat="1" applyFont="1" applyFill="1" applyBorder="1" applyAlignment="1">
      <alignment horizontal="left" vertical="top"/>
    </xf>
    <xf numFmtId="0" fontId="34" fillId="0" borderId="1" xfId="0" applyFont="1" applyBorder="1" applyAlignment="1">
      <alignment vertical="top" wrapText="1"/>
    </xf>
    <xf numFmtId="0" fontId="34" fillId="0" borderId="1" xfId="0" applyFont="1" applyBorder="1" applyAlignment="1">
      <alignment horizontal="left" vertical="top" wrapText="1"/>
    </xf>
    <xf numFmtId="0" fontId="35" fillId="0" borderId="1" xfId="0" applyFont="1" applyBorder="1" applyAlignment="1">
      <alignment horizontal="left" vertical="top" wrapText="1"/>
    </xf>
    <xf numFmtId="14" fontId="35" fillId="0" borderId="1" xfId="0" applyNumberFormat="1" applyFont="1" applyBorder="1" applyAlignment="1">
      <alignment horizontal="left" vertical="top" wrapText="1"/>
    </xf>
    <xf numFmtId="0" fontId="36" fillId="0" borderId="1" xfId="0" applyFont="1" applyBorder="1" applyAlignment="1">
      <alignment horizontal="left" vertical="top" wrapText="1"/>
    </xf>
    <xf numFmtId="0" fontId="17" fillId="0" borderId="1" xfId="0" applyFont="1" applyBorder="1" applyAlignment="1">
      <alignment vertical="top" wrapText="1"/>
    </xf>
    <xf numFmtId="0" fontId="6" fillId="0" borderId="0" xfId="0" applyFont="1" applyAlignment="1">
      <alignment vertical="top" wrapText="1"/>
    </xf>
    <xf numFmtId="176" fontId="5" fillId="0" borderId="1" xfId="0" applyNumberFormat="1" applyFont="1" applyBorder="1" applyAlignment="1">
      <alignment horizontal="center" vertical="top" wrapText="1"/>
    </xf>
    <xf numFmtId="176" fontId="18" fillId="0" borderId="1" xfId="0" applyNumberFormat="1" applyFont="1" applyBorder="1" applyAlignment="1">
      <alignment horizontal="left" vertical="top" wrapText="1"/>
    </xf>
    <xf numFmtId="176" fontId="35" fillId="0" borderId="1" xfId="0" applyNumberFormat="1" applyFont="1" applyBorder="1" applyAlignment="1">
      <alignment horizontal="center" vertical="top" wrapText="1"/>
    </xf>
    <xf numFmtId="176" fontId="34" fillId="0" borderId="1" xfId="0" applyNumberFormat="1" applyFont="1" applyBorder="1" applyAlignment="1">
      <alignment horizontal="left" vertical="top" wrapText="1"/>
    </xf>
    <xf numFmtId="0" fontId="26" fillId="0" borderId="1" xfId="0" applyFont="1" applyBorder="1" applyAlignment="1">
      <alignment vertical="top" wrapText="1"/>
    </xf>
    <xf numFmtId="176" fontId="28" fillId="0" borderId="1" xfId="0" applyNumberFormat="1" applyFont="1" applyBorder="1" applyAlignment="1">
      <alignment horizontal="center" vertical="top" wrapText="1"/>
    </xf>
    <xf numFmtId="176" fontId="27" fillId="0" borderId="1" xfId="0" applyNumberFormat="1" applyFont="1" applyBorder="1" applyAlignment="1">
      <alignment horizontal="left" vertical="top" wrapText="1"/>
    </xf>
    <xf numFmtId="14" fontId="11" fillId="0" borderId="1" xfId="0" applyNumberFormat="1" applyFont="1" applyBorder="1" applyAlignment="1">
      <alignment horizontal="lef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49" fontId="26" fillId="0" borderId="1" xfId="0" quotePrefix="1" applyNumberFormat="1" applyFont="1" applyBorder="1" applyAlignment="1">
      <alignment horizontal="left" vertical="top" wrapText="1"/>
    </xf>
    <xf numFmtId="49" fontId="26" fillId="8" borderId="1" xfId="0" quotePrefix="1" applyNumberFormat="1" applyFont="1" applyFill="1" applyBorder="1" applyAlignment="1">
      <alignment horizontal="left" vertical="top"/>
    </xf>
    <xf numFmtId="176" fontId="10" fillId="0" borderId="1" xfId="0" applyNumberFormat="1" applyFont="1" applyBorder="1" applyAlignment="1">
      <alignment horizontal="center" vertical="top" wrapText="1"/>
    </xf>
    <xf numFmtId="176" fontId="7" fillId="0" borderId="1" xfId="0" applyNumberFormat="1" applyFont="1" applyBorder="1" applyAlignment="1">
      <alignment horizontal="center" vertical="top" wrapText="1"/>
    </xf>
    <xf numFmtId="176" fontId="33" fillId="0" borderId="1" xfId="0" applyNumberFormat="1" applyFont="1" applyBorder="1" applyAlignment="1">
      <alignment horizontal="left" vertical="top" wrapText="1"/>
    </xf>
    <xf numFmtId="0" fontId="26" fillId="0" borderId="6" xfId="0" applyFont="1" applyBorder="1" applyAlignment="1">
      <alignment vertical="top" wrapText="1"/>
    </xf>
    <xf numFmtId="0" fontId="25" fillId="0" borderId="6" xfId="0" applyFont="1" applyBorder="1" applyAlignment="1">
      <alignment vertical="top" wrapText="1"/>
    </xf>
    <xf numFmtId="0" fontId="28" fillId="0" borderId="1" xfId="0" applyFont="1" applyBorder="1" applyAlignment="1">
      <alignment vertical="top" wrapText="1"/>
    </xf>
    <xf numFmtId="0" fontId="5" fillId="0" borderId="1" xfId="0" applyFont="1" applyBorder="1" applyAlignment="1">
      <alignment vertical="top" wrapText="1"/>
    </xf>
    <xf numFmtId="0" fontId="5" fillId="0" borderId="6" xfId="0" applyFont="1" applyBorder="1" applyAlignment="1">
      <alignment vertical="top" wrapText="1"/>
    </xf>
    <xf numFmtId="49" fontId="5" fillId="0" borderId="0" xfId="0" applyNumberFormat="1" applyFont="1" applyAlignment="1">
      <alignment horizontal="left" vertical="top"/>
    </xf>
    <xf numFmtId="14" fontId="33" fillId="0" borderId="0" xfId="0" quotePrefix="1" applyNumberFormat="1" applyFont="1" applyAlignment="1">
      <alignment vertical="top" wrapText="1"/>
    </xf>
    <xf numFmtId="0" fontId="27" fillId="0" borderId="6" xfId="0" applyFont="1" applyBorder="1" applyAlignment="1">
      <alignment vertical="top" wrapText="1"/>
    </xf>
    <xf numFmtId="14" fontId="7" fillId="0" borderId="1" xfId="0" applyNumberFormat="1" applyFont="1" applyBorder="1" applyAlignment="1">
      <alignment horizontal="left" vertical="top" wrapText="1"/>
    </xf>
    <xf numFmtId="0" fontId="42" fillId="0" borderId="1" xfId="0" applyFont="1" applyBorder="1" applyAlignment="1">
      <alignment vertical="top" wrapText="1"/>
    </xf>
    <xf numFmtId="0" fontId="5" fillId="0" borderId="0" xfId="0" applyFont="1" applyAlignment="1">
      <alignment horizontal="left" vertical="top"/>
    </xf>
    <xf numFmtId="0" fontId="6" fillId="0" borderId="0" xfId="0" quotePrefix="1" applyFont="1" applyAlignment="1">
      <alignment horizontal="left" vertical="top"/>
    </xf>
    <xf numFmtId="0" fontId="44" fillId="0" borderId="0" xfId="0" applyFont="1" applyAlignment="1">
      <alignment vertical="top"/>
    </xf>
    <xf numFmtId="49" fontId="44" fillId="0" borderId="0" xfId="0" applyNumberFormat="1" applyFont="1" applyAlignment="1">
      <alignment horizontal="left" vertical="top"/>
    </xf>
    <xf numFmtId="0" fontId="44" fillId="0" borderId="0" xfId="0" applyFont="1" applyAlignment="1">
      <alignment horizontal="left" vertical="top"/>
    </xf>
    <xf numFmtId="0" fontId="45" fillId="0" borderId="0" xfId="0" applyFont="1" applyAlignment="1">
      <alignment horizontal="left" vertical="top"/>
    </xf>
    <xf numFmtId="0" fontId="46" fillId="0" borderId="0" xfId="0" applyFont="1" applyAlignment="1">
      <alignment horizontal="left" vertical="top"/>
    </xf>
    <xf numFmtId="176" fontId="46" fillId="0" borderId="0" xfId="0" applyNumberFormat="1" applyFont="1" applyAlignment="1">
      <alignment horizontal="left" vertical="top"/>
    </xf>
    <xf numFmtId="0" fontId="44" fillId="0" borderId="0" xfId="0" applyFont="1" applyAlignment="1">
      <alignment horizontal="left" vertical="top" wrapText="1"/>
    </xf>
    <xf numFmtId="0" fontId="47" fillId="0" borderId="0" xfId="0" applyFont="1">
      <alignment vertical="center"/>
    </xf>
    <xf numFmtId="0" fontId="44" fillId="0" borderId="0" xfId="0" applyFont="1" applyAlignment="1">
      <alignment vertical="top" wrapText="1"/>
    </xf>
    <xf numFmtId="0" fontId="48" fillId="0" borderId="0" xfId="0" applyFont="1" applyAlignment="1">
      <alignment vertical="top"/>
    </xf>
    <xf numFmtId="49" fontId="6" fillId="0" borderId="1" xfId="0" applyNumberFormat="1" applyFont="1" applyBorder="1" applyAlignment="1">
      <alignment horizontal="left" vertical="top" wrapText="1"/>
    </xf>
    <xf numFmtId="49" fontId="4" fillId="0" borderId="1" xfId="0" applyNumberFormat="1" applyFont="1" applyBorder="1" applyAlignment="1">
      <alignment horizontal="left" vertical="top"/>
    </xf>
    <xf numFmtId="176" fontId="17" fillId="0" borderId="1" xfId="0" applyNumberFormat="1" applyFont="1" applyBorder="1" applyAlignment="1">
      <alignment horizontal="left" vertical="top" wrapText="1"/>
    </xf>
    <xf numFmtId="49" fontId="4" fillId="0" borderId="1" xfId="0" applyNumberFormat="1" applyFont="1" applyBorder="1" applyAlignment="1">
      <alignment horizontal="left" vertical="top" wrapText="1"/>
    </xf>
    <xf numFmtId="0" fontId="17" fillId="0" borderId="6" xfId="0" applyFont="1" applyBorder="1" applyAlignment="1">
      <alignment vertical="top" wrapText="1"/>
    </xf>
    <xf numFmtId="0" fontId="4" fillId="0" borderId="6" xfId="0" applyFont="1" applyBorder="1" applyAlignment="1">
      <alignment vertical="top" wrapText="1"/>
    </xf>
    <xf numFmtId="177" fontId="4" fillId="0" borderId="1" xfId="0" applyNumberFormat="1" applyFont="1" applyBorder="1" applyAlignment="1">
      <alignment horizontal="center" vertical="top" wrapText="1"/>
    </xf>
    <xf numFmtId="0" fontId="50" fillId="10" borderId="7" xfId="0" applyFont="1" applyFill="1" applyBorder="1" applyAlignment="1">
      <alignment horizontal="center" vertical="center" wrapText="1" readingOrder="1"/>
    </xf>
    <xf numFmtId="0" fontId="52" fillId="0" borderId="8" xfId="0" applyFont="1" applyBorder="1" applyAlignment="1">
      <alignment horizontal="left" vertical="center" wrapText="1" readingOrder="1"/>
    </xf>
    <xf numFmtId="0" fontId="51" fillId="0" borderId="9" xfId="0" applyFont="1" applyBorder="1" applyAlignment="1">
      <alignment horizontal="left" vertical="center" wrapText="1" readingOrder="1"/>
    </xf>
    <xf numFmtId="0" fontId="51" fillId="0" borderId="10" xfId="0" applyFont="1" applyBorder="1" applyAlignment="1">
      <alignment horizontal="left" vertical="center" wrapText="1" readingOrder="1"/>
    </xf>
    <xf numFmtId="0" fontId="49" fillId="0" borderId="7" xfId="0" applyFont="1" applyBorder="1" applyAlignment="1">
      <alignment horizontal="center" vertical="center" wrapText="1"/>
    </xf>
    <xf numFmtId="0" fontId="51" fillId="0" borderId="7" xfId="0" applyFont="1" applyBorder="1" applyAlignment="1">
      <alignment horizontal="center" vertical="center" wrapText="1" readingOrder="1"/>
    </xf>
    <xf numFmtId="0" fontId="52" fillId="0" borderId="7" xfId="0" applyFont="1" applyBorder="1" applyAlignment="1">
      <alignment horizontal="left" vertical="center" wrapText="1" readingOrder="1"/>
    </xf>
    <xf numFmtId="0" fontId="49" fillId="0" borderId="7" xfId="0" applyFont="1" applyBorder="1" applyAlignment="1">
      <alignment vertical="center" wrapText="1"/>
    </xf>
    <xf numFmtId="0" fontId="51" fillId="0" borderId="7" xfId="0" applyFont="1" applyBorder="1" applyAlignment="1">
      <alignment horizontal="left" vertical="center" wrapText="1" readingOrder="1"/>
    </xf>
    <xf numFmtId="0" fontId="53" fillId="0" borderId="0" xfId="0" applyFont="1" applyAlignment="1">
      <alignment horizontal="left" vertical="center" readingOrder="1"/>
    </xf>
    <xf numFmtId="0" fontId="0" fillId="0" borderId="0" xfId="0" applyAlignment="1">
      <alignment vertical="center" wrapText="1"/>
    </xf>
    <xf numFmtId="0" fontId="4" fillId="8" borderId="1" xfId="0" applyFont="1" applyFill="1" applyBorder="1" applyAlignment="1">
      <alignment horizontal="center" vertical="center"/>
    </xf>
    <xf numFmtId="0" fontId="4" fillId="0" borderId="1" xfId="0" applyFont="1" applyBorder="1" applyAlignment="1">
      <alignment vertical="center" wrapText="1"/>
    </xf>
    <xf numFmtId="0" fontId="4" fillId="0" borderId="1" xfId="0" applyFont="1" applyBorder="1">
      <alignment vertical="center"/>
    </xf>
    <xf numFmtId="0" fontId="4" fillId="0" borderId="11" xfId="0" applyFont="1" applyBorder="1" applyAlignment="1">
      <alignment vertical="center" wrapText="1"/>
    </xf>
    <xf numFmtId="0" fontId="55" fillId="0" borderId="1" xfId="0" applyFont="1" applyBorder="1" applyAlignment="1">
      <alignment horizontal="left" vertical="top" wrapText="1"/>
    </xf>
    <xf numFmtId="14" fontId="11" fillId="0" borderId="1" xfId="0" applyNumberFormat="1" applyFont="1" applyBorder="1" applyAlignment="1">
      <alignment horizontal="left" vertical="top"/>
    </xf>
    <xf numFmtId="0" fontId="18" fillId="0" borderId="0" xfId="0" quotePrefix="1" applyFont="1" applyAlignment="1">
      <alignment vertical="top"/>
    </xf>
    <xf numFmtId="49" fontId="27" fillId="0" borderId="1" xfId="0" applyNumberFormat="1" applyFont="1" applyBorder="1" applyAlignment="1">
      <alignment horizontal="left" vertical="top" wrapText="1"/>
    </xf>
    <xf numFmtId="49" fontId="27" fillId="8" borderId="1" xfId="0" applyNumberFormat="1" applyFont="1" applyFill="1" applyBorder="1" applyAlignment="1">
      <alignment horizontal="left" vertical="top"/>
    </xf>
    <xf numFmtId="176" fontId="28" fillId="0" borderId="1" xfId="0" applyNumberFormat="1" applyFont="1" applyBorder="1" applyAlignment="1">
      <alignment horizontal="left" vertical="top" wrapText="1"/>
    </xf>
    <xf numFmtId="14" fontId="10" fillId="0" borderId="1" xfId="0" applyNumberFormat="1" applyFont="1" applyBorder="1" applyAlignment="1">
      <alignment horizontal="left" vertical="top"/>
    </xf>
    <xf numFmtId="0" fontId="11" fillId="0" borderId="1" xfId="0" applyFont="1" applyBorder="1" applyAlignment="1">
      <alignment horizontal="left" vertical="top"/>
    </xf>
    <xf numFmtId="178" fontId="18" fillId="0" borderId="1" xfId="0" applyNumberFormat="1" applyFont="1" applyBorder="1" applyAlignment="1">
      <alignment vertical="top" wrapText="1"/>
    </xf>
    <xf numFmtId="0" fontId="57" fillId="0" borderId="0" xfId="0" applyFont="1" applyAlignment="1">
      <alignment vertical="top" wrapText="1"/>
    </xf>
    <xf numFmtId="49" fontId="58" fillId="8" borderId="12" xfId="0" applyNumberFormat="1" applyFont="1" applyFill="1" applyBorder="1" applyAlignment="1">
      <alignment horizontal="left" vertical="top"/>
    </xf>
    <xf numFmtId="0" fontId="59" fillId="0" borderId="12" xfId="0" applyFont="1" applyBorder="1" applyAlignment="1">
      <alignment horizontal="left" vertical="top" wrapText="1"/>
    </xf>
    <xf numFmtId="0" fontId="59" fillId="0" borderId="1" xfId="0" applyFont="1" applyBorder="1" applyAlignment="1">
      <alignment horizontal="left" vertical="top" wrapText="1"/>
    </xf>
    <xf numFmtId="176" fontId="59" fillId="0" borderId="12" xfId="0" applyNumberFormat="1" applyFont="1" applyBorder="1" applyAlignment="1">
      <alignment horizontal="left" vertical="top" wrapText="1"/>
    </xf>
    <xf numFmtId="14" fontId="59" fillId="0" borderId="1" xfId="0" applyNumberFormat="1" applyFont="1" applyBorder="1" applyAlignment="1">
      <alignment horizontal="left" vertical="top" wrapText="1"/>
    </xf>
    <xf numFmtId="0" fontId="57" fillId="0" borderId="1" xfId="0" applyFont="1" applyBorder="1" applyAlignment="1">
      <alignment vertical="top" wrapText="1"/>
    </xf>
    <xf numFmtId="49" fontId="27" fillId="8" borderId="12" xfId="0" applyNumberFormat="1" applyFont="1" applyFill="1" applyBorder="1" applyAlignment="1">
      <alignment horizontal="left" vertical="top"/>
    </xf>
    <xf numFmtId="0" fontId="28" fillId="0" borderId="12" xfId="0" applyFont="1" applyBorder="1" applyAlignment="1">
      <alignment horizontal="left" vertical="top" wrapText="1"/>
    </xf>
    <xf numFmtId="176" fontId="28" fillId="0" borderId="12" xfId="0" applyNumberFormat="1" applyFont="1" applyBorder="1" applyAlignment="1">
      <alignment horizontal="left" vertical="top" wrapText="1"/>
    </xf>
    <xf numFmtId="0" fontId="57" fillId="0" borderId="1" xfId="0" applyFont="1" applyBorder="1" applyAlignment="1">
      <alignment horizontal="left" vertical="top" wrapText="1"/>
    </xf>
    <xf numFmtId="0" fontId="62" fillId="0" borderId="12" xfId="0" applyFont="1" applyBorder="1" applyAlignment="1">
      <alignment horizontal="left" vertical="top" wrapText="1"/>
    </xf>
    <xf numFmtId="176" fontId="62" fillId="0" borderId="12" xfId="0" applyNumberFormat="1" applyFont="1" applyBorder="1" applyAlignment="1">
      <alignment horizontal="left" vertical="top" wrapText="1"/>
    </xf>
    <xf numFmtId="0" fontId="57" fillId="0" borderId="12" xfId="0" applyFont="1" applyBorder="1" applyAlignment="1">
      <alignment horizontal="left" vertical="top" wrapText="1"/>
    </xf>
    <xf numFmtId="49" fontId="58" fillId="8" borderId="1" xfId="0" quotePrefix="1" applyNumberFormat="1" applyFont="1" applyFill="1" applyBorder="1" applyAlignment="1">
      <alignment horizontal="left" vertical="top"/>
    </xf>
    <xf numFmtId="176" fontId="59" fillId="0" borderId="1" xfId="0" applyNumberFormat="1" applyFont="1" applyBorder="1" applyAlignment="1">
      <alignment horizontal="left" vertical="top" wrapText="1"/>
    </xf>
    <xf numFmtId="0" fontId="59" fillId="0" borderId="1" xfId="0" applyFont="1" applyBorder="1" applyAlignment="1">
      <alignment vertical="top" wrapText="1"/>
    </xf>
    <xf numFmtId="0" fontId="59" fillId="0" borderId="0" xfId="0" applyFont="1" applyAlignment="1">
      <alignment vertical="top" wrapText="1"/>
    </xf>
    <xf numFmtId="14" fontId="7" fillId="0" borderId="0" xfId="0" applyNumberFormat="1" applyFont="1" applyAlignment="1">
      <alignment vertical="top" wrapText="1"/>
    </xf>
    <xf numFmtId="0" fontId="10" fillId="9" borderId="1" xfId="0" applyFont="1" applyFill="1" applyBorder="1" applyAlignment="1">
      <alignment horizontal="left" vertical="top" wrapText="1"/>
    </xf>
    <xf numFmtId="0" fontId="7" fillId="0" borderId="1" xfId="0" applyFont="1" applyBorder="1" applyAlignment="1">
      <alignment vertical="top" wrapText="1"/>
    </xf>
    <xf numFmtId="0" fontId="28" fillId="11" borderId="1" xfId="0" applyFont="1" applyFill="1" applyBorder="1" applyAlignment="1">
      <alignment vertical="top" wrapText="1"/>
    </xf>
    <xf numFmtId="0" fontId="28" fillId="11" borderId="1" xfId="0" applyFont="1" applyFill="1" applyBorder="1" applyAlignment="1">
      <alignment horizontal="left" vertical="top" wrapText="1"/>
    </xf>
    <xf numFmtId="0" fontId="66" fillId="11" borderId="1" xfId="0" applyFont="1" applyFill="1" applyBorder="1" applyAlignment="1">
      <alignment horizontal="left" vertical="top" wrapText="1"/>
    </xf>
    <xf numFmtId="176" fontId="66" fillId="11" borderId="1" xfId="0" applyNumberFormat="1" applyFont="1" applyFill="1" applyBorder="1" applyAlignment="1">
      <alignment horizontal="left" vertical="top" wrapText="1"/>
    </xf>
    <xf numFmtId="14" fontId="66" fillId="11" borderId="1" xfId="0" applyNumberFormat="1" applyFont="1" applyFill="1" applyBorder="1" applyAlignment="1">
      <alignment horizontal="left" vertical="top" wrapText="1"/>
    </xf>
    <xf numFmtId="0" fontId="66" fillId="0" borderId="1" xfId="0" applyFont="1" applyBorder="1" applyAlignment="1">
      <alignment horizontal="left" vertical="top" wrapText="1"/>
    </xf>
    <xf numFmtId="49" fontId="11" fillId="0" borderId="0" xfId="0" applyNumberFormat="1" applyFont="1" applyAlignment="1">
      <alignment horizontal="left" vertical="top"/>
    </xf>
    <xf numFmtId="0" fontId="66" fillId="11" borderId="1" xfId="0" applyFont="1" applyFill="1" applyBorder="1" applyAlignment="1">
      <alignment vertical="top" wrapText="1"/>
    </xf>
    <xf numFmtId="0" fontId="18" fillId="9" borderId="1" xfId="0" applyFont="1" applyFill="1" applyBorder="1" applyAlignment="1">
      <alignment horizontal="left" vertical="top" wrapText="1"/>
    </xf>
    <xf numFmtId="0" fontId="67" fillId="0" borderId="1" xfId="0" applyFont="1" applyBorder="1" applyAlignment="1">
      <alignment horizontal="left" vertical="top" wrapText="1"/>
    </xf>
    <xf numFmtId="0" fontId="27" fillId="0" borderId="1" xfId="0" applyFont="1" applyBorder="1" applyAlignment="1">
      <alignment vertical="top" wrapText="1"/>
    </xf>
    <xf numFmtId="0" fontId="68" fillId="9" borderId="1" xfId="0" applyFont="1" applyFill="1" applyBorder="1" applyAlignment="1">
      <alignment horizontal="left" vertical="top" wrapText="1"/>
    </xf>
    <xf numFmtId="0" fontId="62" fillId="0" borderId="1" xfId="0" applyFont="1" applyBorder="1" applyAlignment="1">
      <alignment horizontal="left" vertical="top" wrapText="1"/>
    </xf>
    <xf numFmtId="176" fontId="35" fillId="0" borderId="1" xfId="0" applyNumberFormat="1" applyFont="1" applyBorder="1" applyAlignment="1">
      <alignment horizontal="left" vertical="top" wrapText="1"/>
    </xf>
    <xf numFmtId="0" fontId="17" fillId="9" borderId="1" xfId="0" applyFont="1" applyFill="1" applyBorder="1" applyAlignment="1">
      <alignment horizontal="left" vertical="top" wrapText="1"/>
    </xf>
    <xf numFmtId="0" fontId="32" fillId="0" borderId="0" xfId="0" applyFont="1" applyAlignment="1">
      <alignment vertical="center" wrapText="1"/>
    </xf>
    <xf numFmtId="0" fontId="32" fillId="0" borderId="0" xfId="0" applyFont="1" applyAlignment="1">
      <alignment vertical="top" wrapText="1"/>
    </xf>
    <xf numFmtId="0" fontId="33" fillId="0" borderId="0" xfId="0" applyFont="1" applyAlignment="1">
      <alignment vertical="top" wrapText="1"/>
    </xf>
    <xf numFmtId="49" fontId="32" fillId="0" borderId="1" xfId="0" quotePrefix="1" applyNumberFormat="1" applyFont="1" applyBorder="1" applyAlignment="1">
      <alignment horizontal="left" vertical="top" wrapText="1"/>
    </xf>
    <xf numFmtId="49" fontId="32" fillId="8" borderId="1" xfId="0" quotePrefix="1" applyNumberFormat="1" applyFont="1" applyFill="1" applyBorder="1" applyAlignment="1">
      <alignment horizontal="left" vertical="top"/>
    </xf>
    <xf numFmtId="176" fontId="6" fillId="0" borderId="1" xfId="0" applyNumberFormat="1" applyFont="1" applyBorder="1" applyAlignment="1">
      <alignment horizontal="left" vertical="top" wrapText="1"/>
    </xf>
    <xf numFmtId="14" fontId="6" fillId="0" borderId="1" xfId="0" applyNumberFormat="1" applyFont="1" applyBorder="1" applyAlignment="1">
      <alignment horizontal="left" vertical="top" wrapText="1"/>
    </xf>
    <xf numFmtId="0" fontId="17" fillId="0" borderId="0" xfId="0" applyFont="1" applyAlignment="1">
      <alignment vertical="center" wrapText="1"/>
    </xf>
    <xf numFmtId="0" fontId="35" fillId="0" borderId="0" xfId="0" applyFont="1" applyAlignment="1">
      <alignment vertical="top" wrapText="1"/>
    </xf>
    <xf numFmtId="0" fontId="35" fillId="0" borderId="1" xfId="0" applyFont="1" applyBorder="1" applyAlignment="1">
      <alignment vertical="top" wrapText="1"/>
    </xf>
    <xf numFmtId="176" fontId="62" fillId="0" borderId="1" xfId="0" applyNumberFormat="1" applyFont="1" applyBorder="1" applyAlignment="1">
      <alignment horizontal="left" vertical="top" wrapText="1"/>
    </xf>
    <xf numFmtId="14" fontId="62" fillId="0" borderId="1" xfId="0" applyNumberFormat="1" applyFont="1" applyBorder="1" applyAlignment="1">
      <alignment horizontal="left" vertical="top" wrapText="1"/>
    </xf>
    <xf numFmtId="14" fontId="71" fillId="0" borderId="0" xfId="0" applyNumberFormat="1" applyFont="1" applyAlignment="1">
      <alignment vertical="top" wrapText="1"/>
    </xf>
    <xf numFmtId="0" fontId="62" fillId="0" borderId="1" xfId="0" applyFont="1" applyBorder="1" applyAlignment="1">
      <alignment vertical="top" wrapText="1"/>
    </xf>
    <xf numFmtId="176" fontId="7" fillId="0" borderId="1" xfId="0" applyNumberFormat="1" applyFont="1" applyBorder="1" applyAlignment="1">
      <alignment horizontal="left" vertical="top" wrapText="1"/>
    </xf>
    <xf numFmtId="0" fontId="4" fillId="9" borderId="1" xfId="0" applyFont="1" applyFill="1" applyBorder="1" applyAlignment="1">
      <alignment horizontal="left" vertical="top" wrapText="1"/>
    </xf>
    <xf numFmtId="0" fontId="5" fillId="9" borderId="1" xfId="0" applyFont="1" applyFill="1" applyBorder="1" applyAlignment="1">
      <alignment horizontal="left" vertical="top" wrapText="1"/>
    </xf>
    <xf numFmtId="176" fontId="59" fillId="0" borderId="1" xfId="0" applyNumberFormat="1" applyFont="1" applyBorder="1" applyAlignment="1">
      <alignment horizontal="center" vertical="top" wrapText="1"/>
    </xf>
    <xf numFmtId="0" fontId="25" fillId="9" borderId="1" xfId="0" applyFont="1" applyFill="1" applyBorder="1" applyAlignment="1">
      <alignment horizontal="left" vertical="top" wrapText="1"/>
    </xf>
    <xf numFmtId="0" fontId="11" fillId="9" borderId="1" xfId="0" applyFont="1" applyFill="1" applyBorder="1" applyAlignment="1">
      <alignment horizontal="left" vertical="top" wrapText="1"/>
    </xf>
    <xf numFmtId="0" fontId="58" fillId="0" borderId="1" xfId="0" applyFont="1" applyBorder="1" applyAlignment="1">
      <alignment horizontal="left" vertical="top" wrapText="1"/>
    </xf>
    <xf numFmtId="176" fontId="57" fillId="0" borderId="1" xfId="0" applyNumberFormat="1" applyFont="1" applyBorder="1" applyAlignment="1">
      <alignment horizontal="center" vertical="top" wrapText="1"/>
    </xf>
    <xf numFmtId="176" fontId="58" fillId="0" borderId="1" xfId="0" applyNumberFormat="1" applyFont="1" applyBorder="1" applyAlignment="1">
      <alignment horizontal="left" vertical="top" wrapText="1"/>
    </xf>
    <xf numFmtId="14" fontId="57" fillId="0" borderId="1" xfId="0" applyNumberFormat="1" applyFont="1" applyBorder="1" applyAlignment="1">
      <alignment horizontal="left" vertical="top" wrapText="1"/>
    </xf>
    <xf numFmtId="14" fontId="26" fillId="0" borderId="13" xfId="1" applyNumberFormat="1" applyFont="1" applyBorder="1" applyAlignment="1">
      <alignment horizontal="left" vertical="top" wrapText="1"/>
    </xf>
    <xf numFmtId="176" fontId="4" fillId="0" borderId="1" xfId="0" applyNumberFormat="1" applyFont="1" applyBorder="1" applyAlignment="1">
      <alignment horizontal="center" vertical="top" wrapText="1"/>
    </xf>
    <xf numFmtId="14" fontId="5" fillId="0" borderId="0" xfId="0" applyNumberFormat="1" applyFont="1" applyAlignment="1">
      <alignment vertical="top" wrapText="1"/>
    </xf>
    <xf numFmtId="0" fontId="10" fillId="9" borderId="1" xfId="0" applyFont="1" applyFill="1" applyBorder="1" applyAlignment="1">
      <alignment vertical="top" wrapText="1"/>
    </xf>
    <xf numFmtId="176" fontId="10" fillId="0" borderId="1" xfId="0" applyNumberFormat="1" applyFont="1" applyBorder="1" applyAlignment="1">
      <alignment horizontal="left" vertical="top" wrapText="1"/>
    </xf>
    <xf numFmtId="0" fontId="72" fillId="9" borderId="1" xfId="0" applyFont="1" applyFill="1" applyBorder="1" applyAlignment="1">
      <alignment horizontal="left" vertical="top" wrapText="1"/>
    </xf>
    <xf numFmtId="14" fontId="18" fillId="0" borderId="0" xfId="0" quotePrefix="1" applyNumberFormat="1" applyFont="1" applyAlignment="1">
      <alignment vertical="top" wrapText="1"/>
    </xf>
    <xf numFmtId="14" fontId="10" fillId="9" borderId="1" xfId="0" applyNumberFormat="1" applyFont="1" applyFill="1" applyBorder="1" applyAlignment="1">
      <alignment horizontal="left" vertical="top" wrapText="1"/>
    </xf>
    <xf numFmtId="176" fontId="26" fillId="0" borderId="1" xfId="0" applyNumberFormat="1" applyFont="1" applyBorder="1" applyAlignment="1">
      <alignment horizontal="left" vertical="top" wrapText="1"/>
    </xf>
    <xf numFmtId="0" fontId="6" fillId="0" borderId="1" xfId="0" applyFont="1" applyBorder="1" applyAlignment="1">
      <alignment vertical="top" wrapText="1"/>
    </xf>
    <xf numFmtId="0" fontId="75" fillId="0" borderId="6" xfId="0" applyFont="1" applyBorder="1" applyAlignment="1">
      <alignment vertical="top" wrapText="1"/>
    </xf>
    <xf numFmtId="0" fontId="10" fillId="12" borderId="1" xfId="0" applyFont="1" applyFill="1" applyBorder="1" applyAlignment="1">
      <alignment horizontal="left" vertical="top" wrapText="1"/>
    </xf>
    <xf numFmtId="0" fontId="26" fillId="9" borderId="1" xfId="0" applyFont="1" applyFill="1" applyBorder="1" applyAlignment="1">
      <alignment vertical="top" wrapText="1"/>
    </xf>
    <xf numFmtId="0" fontId="26" fillId="9" borderId="6" xfId="0" applyFont="1" applyFill="1" applyBorder="1" applyAlignment="1">
      <alignment vertical="top" wrapText="1"/>
    </xf>
    <xf numFmtId="14" fontId="33" fillId="0" borderId="0" xfId="0" applyNumberFormat="1" applyFont="1" applyAlignment="1">
      <alignment vertical="top" wrapText="1"/>
    </xf>
    <xf numFmtId="0" fontId="10" fillId="0" borderId="6" xfId="0" applyFont="1" applyBorder="1" applyAlignment="1">
      <alignment vertical="top" wrapText="1"/>
    </xf>
    <xf numFmtId="0" fontId="10" fillId="0" borderId="0" xfId="0" applyFont="1" applyAlignment="1">
      <alignment vertical="top" wrapText="1"/>
    </xf>
    <xf numFmtId="0" fontId="28" fillId="9" borderId="1" xfId="0" applyFont="1" applyFill="1" applyBorder="1" applyAlignment="1">
      <alignment horizontal="left" vertical="top" wrapText="1"/>
    </xf>
    <xf numFmtId="0" fontId="28" fillId="0" borderId="6" xfId="0" applyFont="1" applyBorder="1" applyAlignment="1">
      <alignment vertical="top" wrapText="1"/>
    </xf>
    <xf numFmtId="0" fontId="10" fillId="9" borderId="6" xfId="0" applyFont="1" applyFill="1" applyBorder="1" applyAlignment="1">
      <alignment vertical="top" wrapText="1"/>
    </xf>
    <xf numFmtId="0" fontId="66" fillId="9" borderId="1" xfId="0" applyFont="1" applyFill="1" applyBorder="1" applyAlignment="1">
      <alignment horizontal="left" vertical="top" wrapText="1"/>
    </xf>
    <xf numFmtId="0" fontId="81" fillId="0" borderId="1" xfId="0" applyFont="1" applyBorder="1" applyAlignment="1">
      <alignment horizontal="left" vertical="top" wrapText="1"/>
    </xf>
    <xf numFmtId="0" fontId="83" fillId="0" borderId="1" xfId="0" applyFont="1" applyBorder="1" applyAlignment="1">
      <alignment horizontal="left" vertical="top" wrapText="1"/>
    </xf>
    <xf numFmtId="0" fontId="25" fillId="9" borderId="6" xfId="0" applyFont="1" applyFill="1" applyBorder="1" applyAlignment="1">
      <alignment vertical="top" wrapText="1"/>
    </xf>
    <xf numFmtId="0" fontId="85" fillId="9" borderId="6" xfId="0" applyFont="1" applyFill="1" applyBorder="1" applyAlignment="1">
      <alignment vertical="top" wrapText="1"/>
    </xf>
    <xf numFmtId="0" fontId="26" fillId="0" borderId="0" xfId="0" applyFont="1" applyAlignment="1">
      <alignment vertical="center" wrapText="1"/>
    </xf>
    <xf numFmtId="176" fontId="66" fillId="0" borderId="1" xfId="0" applyNumberFormat="1" applyFont="1" applyBorder="1" applyAlignment="1">
      <alignment horizontal="center" vertical="top" wrapText="1"/>
    </xf>
    <xf numFmtId="0" fontId="66" fillId="0" borderId="1" xfId="0" applyFont="1" applyBorder="1" applyAlignment="1">
      <alignment vertical="top" wrapText="1"/>
    </xf>
    <xf numFmtId="0" fontId="42" fillId="0" borderId="1" xfId="0" applyFont="1" applyBorder="1" applyAlignment="1">
      <alignment horizontal="left" vertical="top" wrapText="1"/>
    </xf>
    <xf numFmtId="0" fontId="42" fillId="0" borderId="6" xfId="0" applyFont="1" applyBorder="1" applyAlignment="1">
      <alignment vertical="top" wrapText="1"/>
    </xf>
    <xf numFmtId="14" fontId="66" fillId="0" borderId="1" xfId="0" applyNumberFormat="1" applyFont="1" applyBorder="1" applyAlignment="1">
      <alignment horizontal="left" vertical="top" wrapText="1"/>
    </xf>
    <xf numFmtId="0" fontId="90" fillId="0" borderId="1" xfId="0" applyFont="1" applyBorder="1" applyAlignment="1">
      <alignment horizontal="left" vertical="top" wrapText="1"/>
    </xf>
    <xf numFmtId="0" fontId="90" fillId="0" borderId="1" xfId="0" applyFont="1" applyBorder="1" applyAlignment="1">
      <alignment vertical="top" wrapText="1"/>
    </xf>
    <xf numFmtId="176" fontId="62" fillId="0" borderId="1" xfId="0" applyNumberFormat="1" applyFont="1" applyBorder="1" applyAlignment="1">
      <alignment horizontal="center" vertical="top" wrapText="1"/>
    </xf>
    <xf numFmtId="176" fontId="90" fillId="0" borderId="1" xfId="0" applyNumberFormat="1" applyFont="1" applyBorder="1" applyAlignment="1">
      <alignment horizontal="left" vertical="top" wrapText="1"/>
    </xf>
    <xf numFmtId="0" fontId="34" fillId="9" borderId="1" xfId="0" applyFont="1" applyFill="1" applyBorder="1" applyAlignment="1">
      <alignment horizontal="left" vertical="top" wrapText="1"/>
    </xf>
    <xf numFmtId="0" fontId="91" fillId="0" borderId="1" xfId="0" applyFont="1" applyBorder="1" applyAlignment="1">
      <alignment horizontal="left" vertical="top" wrapText="1"/>
    </xf>
    <xf numFmtId="0" fontId="90" fillId="9" borderId="1" xfId="0" applyFont="1" applyFill="1" applyBorder="1" applyAlignment="1">
      <alignment horizontal="left" vertical="top" wrapText="1"/>
    </xf>
    <xf numFmtId="49" fontId="10" fillId="0" borderId="0" xfId="0" applyNumberFormat="1" applyFont="1" applyAlignment="1">
      <alignment horizontal="left" vertical="top"/>
    </xf>
    <xf numFmtId="176" fontId="11" fillId="0" borderId="1" xfId="0" applyNumberFormat="1" applyFont="1" applyBorder="1" applyAlignment="1">
      <alignment horizontal="center" vertical="top" wrapText="1"/>
    </xf>
    <xf numFmtId="0" fontId="25" fillId="0" borderId="1" xfId="0" applyFont="1" applyBorder="1" applyAlignment="1">
      <alignment horizontal="left" vertical="top"/>
    </xf>
    <xf numFmtId="49" fontId="25" fillId="8" borderId="1" xfId="0" quotePrefix="1" applyNumberFormat="1" applyFont="1" applyFill="1" applyBorder="1" applyAlignment="1">
      <alignment horizontal="left" vertical="top"/>
    </xf>
    <xf numFmtId="0" fontId="11" fillId="11" borderId="1" xfId="0" applyFont="1" applyFill="1" applyBorder="1" applyAlignment="1">
      <alignment horizontal="left" vertical="top" wrapText="1"/>
    </xf>
    <xf numFmtId="176" fontId="11" fillId="11" borderId="1" xfId="0" applyNumberFormat="1" applyFont="1" applyFill="1" applyBorder="1" applyAlignment="1">
      <alignment horizontal="center" vertical="top" wrapText="1"/>
    </xf>
    <xf numFmtId="14" fontId="11" fillId="0" borderId="12" xfId="0" applyNumberFormat="1" applyFont="1" applyBorder="1" applyAlignment="1">
      <alignment horizontal="left" vertical="top" wrapText="1"/>
    </xf>
    <xf numFmtId="0" fontId="25" fillId="0" borderId="12" xfId="0" applyFont="1" applyBorder="1" applyAlignment="1">
      <alignment horizontal="left" vertical="top" wrapText="1"/>
    </xf>
    <xf numFmtId="0" fontId="26" fillId="11" borderId="1" xfId="0" applyFont="1" applyFill="1" applyBorder="1" applyAlignment="1">
      <alignment horizontal="left" vertical="top" wrapText="1"/>
    </xf>
    <xf numFmtId="0" fontId="10" fillId="11" borderId="1" xfId="0" applyFont="1" applyFill="1" applyBorder="1" applyAlignment="1">
      <alignment vertical="top" wrapText="1"/>
    </xf>
    <xf numFmtId="0" fontId="10" fillId="11" borderId="1" xfId="0" applyFont="1" applyFill="1" applyBorder="1" applyAlignment="1">
      <alignment horizontal="left" vertical="top" wrapText="1"/>
    </xf>
    <xf numFmtId="176" fontId="10" fillId="11" borderId="1" xfId="0" applyNumberFormat="1" applyFont="1" applyFill="1" applyBorder="1" applyAlignment="1">
      <alignment horizontal="center" vertical="top" wrapText="1"/>
    </xf>
    <xf numFmtId="176" fontId="26" fillId="11" borderId="1" xfId="0" applyNumberFormat="1" applyFont="1" applyFill="1" applyBorder="1" applyAlignment="1">
      <alignment horizontal="left" vertical="top" wrapText="1"/>
    </xf>
    <xf numFmtId="0" fontId="55" fillId="11" borderId="1" xfId="0" applyFont="1" applyFill="1" applyBorder="1" applyAlignment="1">
      <alignment horizontal="left" vertical="top" wrapText="1"/>
    </xf>
    <xf numFmtId="14" fontId="10" fillId="11" borderId="1" xfId="0" applyNumberFormat="1" applyFont="1" applyFill="1" applyBorder="1" applyAlignment="1">
      <alignment horizontal="left" vertical="top" wrapText="1"/>
    </xf>
    <xf numFmtId="0" fontId="26" fillId="11" borderId="3" xfId="0" applyFont="1" applyFill="1" applyBorder="1" applyAlignment="1">
      <alignment horizontal="left" vertical="top" wrapText="1"/>
    </xf>
    <xf numFmtId="14" fontId="26" fillId="11" borderId="1" xfId="0" applyNumberFormat="1" applyFont="1" applyFill="1" applyBorder="1" applyAlignment="1">
      <alignment horizontal="left" vertical="top" wrapText="1"/>
    </xf>
    <xf numFmtId="49" fontId="10" fillId="11" borderId="1" xfId="0" applyNumberFormat="1" applyFont="1" applyFill="1" applyBorder="1" applyAlignment="1">
      <alignment horizontal="left" vertical="top"/>
    </xf>
    <xf numFmtId="0" fontId="26" fillId="11" borderId="14" xfId="0" applyFont="1" applyFill="1" applyBorder="1" applyAlignment="1">
      <alignment vertical="top" wrapText="1"/>
    </xf>
    <xf numFmtId="0" fontId="26" fillId="11" borderId="1" xfId="0" applyFont="1" applyFill="1" applyBorder="1" applyAlignment="1">
      <alignment horizontal="left" vertical="top"/>
    </xf>
    <xf numFmtId="0" fontId="25" fillId="11" borderId="1" xfId="0" applyFont="1" applyFill="1" applyBorder="1" applyAlignment="1">
      <alignment horizontal="left" vertical="top" wrapText="1"/>
    </xf>
    <xf numFmtId="0" fontId="26" fillId="11" borderId="1" xfId="0" applyFont="1" applyFill="1" applyBorder="1" applyAlignment="1">
      <alignment vertical="top" wrapText="1"/>
    </xf>
    <xf numFmtId="14" fontId="11" fillId="11" borderId="1" xfId="0" applyNumberFormat="1" applyFont="1" applyFill="1" applyBorder="1" applyAlignment="1">
      <alignment horizontal="left" vertical="top" wrapText="1"/>
    </xf>
    <xf numFmtId="0" fontId="26" fillId="11" borderId="6" xfId="0" applyFont="1" applyFill="1" applyBorder="1" applyAlignment="1">
      <alignment vertical="top" wrapText="1"/>
    </xf>
    <xf numFmtId="0" fontId="10" fillId="11" borderId="3" xfId="0" applyFont="1" applyFill="1" applyBorder="1" applyAlignment="1">
      <alignment horizontal="left" vertical="top" wrapText="1"/>
    </xf>
    <xf numFmtId="49" fontId="11" fillId="11" borderId="1" xfId="0" applyNumberFormat="1" applyFont="1" applyFill="1" applyBorder="1" applyAlignment="1">
      <alignment horizontal="left" vertical="top"/>
    </xf>
    <xf numFmtId="0" fontId="10" fillId="11" borderId="1" xfId="0" applyFont="1" applyFill="1" applyBorder="1" applyAlignment="1">
      <alignment horizontal="left" vertical="top"/>
    </xf>
    <xf numFmtId="0" fontId="25" fillId="11" borderId="1" xfId="0" applyFont="1" applyFill="1" applyBorder="1" applyAlignment="1">
      <alignment vertical="top" wrapText="1"/>
    </xf>
    <xf numFmtId="0" fontId="11" fillId="11" borderId="1" xfId="0" applyFont="1" applyFill="1" applyBorder="1" applyAlignment="1">
      <alignment vertical="top" wrapText="1"/>
    </xf>
    <xf numFmtId="0" fontId="14" fillId="11" borderId="1" xfId="0" applyFont="1" applyFill="1" applyBorder="1" applyAlignment="1">
      <alignment horizontal="left" vertical="top" wrapText="1"/>
    </xf>
    <xf numFmtId="14" fontId="11" fillId="9" borderId="1" xfId="0" applyNumberFormat="1" applyFont="1" applyFill="1" applyBorder="1" applyAlignment="1">
      <alignment horizontal="left" vertical="top" wrapText="1"/>
    </xf>
    <xf numFmtId="0" fontId="11" fillId="11" borderId="3" xfId="0" applyFont="1" applyFill="1" applyBorder="1" applyAlignment="1">
      <alignment horizontal="left" vertical="top" wrapText="1"/>
    </xf>
    <xf numFmtId="49" fontId="11" fillId="9" borderId="1" xfId="0" applyNumberFormat="1" applyFont="1" applyFill="1" applyBorder="1" applyAlignment="1">
      <alignment horizontal="left" vertical="top"/>
    </xf>
    <xf numFmtId="0" fontId="25" fillId="9" borderId="14" xfId="0" applyFont="1" applyFill="1" applyBorder="1" applyAlignment="1">
      <alignment vertical="top" wrapText="1"/>
    </xf>
    <xf numFmtId="0" fontId="25" fillId="11" borderId="1" xfId="0" applyFont="1" applyFill="1" applyBorder="1" applyAlignment="1">
      <alignment horizontal="left" vertical="top"/>
    </xf>
    <xf numFmtId="0" fontId="11" fillId="11" borderId="1" xfId="0" applyFont="1" applyFill="1" applyBorder="1" applyAlignment="1">
      <alignment horizontal="left" vertical="top"/>
    </xf>
    <xf numFmtId="0" fontId="25" fillId="11" borderId="6" xfId="0" applyFont="1" applyFill="1" applyBorder="1" applyAlignment="1">
      <alignment vertical="top" wrapText="1"/>
    </xf>
    <xf numFmtId="0" fontId="27" fillId="11" borderId="1" xfId="0" applyFont="1" applyFill="1" applyBorder="1" applyAlignment="1">
      <alignment horizontal="left" vertical="top" wrapText="1"/>
    </xf>
    <xf numFmtId="176" fontId="28" fillId="11" borderId="1" xfId="0" applyNumberFormat="1" applyFont="1" applyFill="1" applyBorder="1" applyAlignment="1">
      <alignment horizontal="center" vertical="top" wrapText="1"/>
    </xf>
    <xf numFmtId="0" fontId="27" fillId="11" borderId="1" xfId="0" applyFont="1" applyFill="1" applyBorder="1" applyAlignment="1">
      <alignment vertical="top" wrapText="1"/>
    </xf>
    <xf numFmtId="0" fontId="29" fillId="11" borderId="1" xfId="0" applyFont="1" applyFill="1" applyBorder="1" applyAlignment="1">
      <alignment horizontal="left" vertical="top" wrapText="1"/>
    </xf>
    <xf numFmtId="14" fontId="28" fillId="9" borderId="1" xfId="0" applyNumberFormat="1" applyFont="1" applyFill="1" applyBorder="1" applyAlignment="1">
      <alignment horizontal="left" vertical="top" wrapText="1"/>
    </xf>
    <xf numFmtId="0" fontId="27" fillId="9" borderId="6" xfId="0" applyFont="1" applyFill="1" applyBorder="1" applyAlignment="1">
      <alignment vertical="top" wrapText="1"/>
    </xf>
    <xf numFmtId="14" fontId="28" fillId="11" borderId="1" xfId="0" applyNumberFormat="1" applyFont="1" applyFill="1" applyBorder="1" applyAlignment="1">
      <alignment horizontal="left" vertical="top" wrapText="1"/>
    </xf>
    <xf numFmtId="0" fontId="55" fillId="11" borderId="1" xfId="75" applyFont="1" applyFill="1" applyBorder="1" applyAlignment="1">
      <alignment horizontal="left" vertical="top" wrapText="1"/>
    </xf>
    <xf numFmtId="49" fontId="33" fillId="0" borderId="1" xfId="0" quotePrefix="1" applyNumberFormat="1" applyFont="1" applyBorder="1" applyAlignment="1">
      <alignment horizontal="left" vertical="top" wrapText="1"/>
    </xf>
    <xf numFmtId="49" fontId="33" fillId="8" borderId="1" xfId="0" quotePrefix="1" applyNumberFormat="1" applyFont="1" applyFill="1" applyBorder="1" applyAlignment="1">
      <alignment horizontal="left" vertical="top"/>
    </xf>
    <xf numFmtId="176" fontId="25" fillId="0" borderId="1" xfId="0" applyNumberFormat="1" applyFont="1" applyBorder="1" applyAlignment="1">
      <alignment horizontal="left" vertical="top" wrapText="1"/>
    </xf>
    <xf numFmtId="0" fontId="7" fillId="0" borderId="0" xfId="0" applyFont="1" applyAlignment="1">
      <alignment horizontal="left" vertical="top" wrapText="1"/>
    </xf>
    <xf numFmtId="14" fontId="7" fillId="0" borderId="0" xfId="0" applyNumberFormat="1" applyFont="1" applyAlignment="1">
      <alignment horizontal="left" vertical="top" wrapText="1"/>
    </xf>
    <xf numFmtId="0" fontId="4" fillId="13" borderId="1" xfId="0" applyFont="1" applyFill="1" applyBorder="1" applyAlignment="1">
      <alignment vertical="center" wrapText="1"/>
    </xf>
    <xf numFmtId="14" fontId="0" fillId="0" borderId="0" xfId="0" applyNumberFormat="1">
      <alignment vertical="center"/>
    </xf>
    <xf numFmtId="0" fontId="4" fillId="14" borderId="1" xfId="0" applyFont="1" applyFill="1" applyBorder="1" applyAlignment="1">
      <alignment vertical="center" wrapText="1"/>
    </xf>
    <xf numFmtId="0" fontId="4" fillId="14" borderId="1" xfId="0" applyFont="1" applyFill="1" applyBorder="1">
      <alignment vertical="center"/>
    </xf>
    <xf numFmtId="0" fontId="4" fillId="0" borderId="0" xfId="0" applyFont="1" applyAlignment="1">
      <alignment vertical="center" wrapText="1"/>
    </xf>
    <xf numFmtId="49" fontId="17" fillId="11" borderId="1" xfId="0" quotePrefix="1" applyNumberFormat="1" applyFont="1" applyFill="1" applyBorder="1" applyAlignment="1">
      <alignment horizontal="left" vertical="top"/>
    </xf>
    <xf numFmtId="0" fontId="17" fillId="11" borderId="1" xfId="0" applyFont="1" applyFill="1" applyBorder="1" applyAlignment="1">
      <alignment horizontal="left" vertical="top" wrapText="1"/>
    </xf>
    <xf numFmtId="0" fontId="4" fillId="11" borderId="1" xfId="0" applyFont="1" applyFill="1" applyBorder="1" applyAlignment="1">
      <alignment vertical="top" wrapText="1"/>
    </xf>
    <xf numFmtId="0" fontId="4" fillId="11" borderId="1" xfId="0" applyFont="1" applyFill="1" applyBorder="1" applyAlignment="1">
      <alignment horizontal="left" vertical="top" wrapText="1"/>
    </xf>
    <xf numFmtId="176" fontId="17" fillId="11" borderId="1" xfId="0" applyNumberFormat="1" applyFont="1" applyFill="1" applyBorder="1" applyAlignment="1">
      <alignment horizontal="left" vertical="top" wrapText="1"/>
    </xf>
    <xf numFmtId="14" fontId="4" fillId="11" borderId="1" xfId="0" applyNumberFormat="1" applyFont="1" applyFill="1" applyBorder="1" applyAlignment="1">
      <alignment horizontal="center" vertical="top" wrapText="1"/>
    </xf>
    <xf numFmtId="49" fontId="93" fillId="0" borderId="0" xfId="0" applyNumberFormat="1" applyFont="1" applyAlignment="1">
      <alignment horizontal="left" vertical="top"/>
    </xf>
    <xf numFmtId="49" fontId="4" fillId="0" borderId="6" xfId="0" applyNumberFormat="1" applyFont="1" applyBorder="1" applyAlignment="1">
      <alignment horizontal="left" vertical="top"/>
    </xf>
    <xf numFmtId="0" fontId="4" fillId="0" borderId="6" xfId="0" applyFont="1" applyBorder="1" applyAlignment="1">
      <alignment horizontal="left" vertical="top" wrapText="1"/>
    </xf>
    <xf numFmtId="177" fontId="4" fillId="0" borderId="6" xfId="0" applyNumberFormat="1" applyFont="1" applyBorder="1" applyAlignment="1">
      <alignment horizontal="center" vertical="top" wrapText="1"/>
    </xf>
    <xf numFmtId="0" fontId="17" fillId="0" borderId="6" xfId="0" applyFont="1" applyBorder="1" applyAlignment="1">
      <alignment horizontal="left" vertical="top" wrapText="1"/>
    </xf>
    <xf numFmtId="49" fontId="42" fillId="0" borderId="1" xfId="0" quotePrefix="1" applyNumberFormat="1" applyFont="1" applyBorder="1" applyAlignment="1">
      <alignment horizontal="left" vertical="top" wrapText="1"/>
    </xf>
    <xf numFmtId="49" fontId="32" fillId="0" borderId="1" xfId="0" applyNumberFormat="1" applyFont="1" applyBorder="1" applyAlignment="1">
      <alignment horizontal="left" vertical="top" wrapText="1"/>
    </xf>
    <xf numFmtId="49" fontId="98" fillId="0" borderId="1" xfId="0" quotePrefix="1" applyNumberFormat="1" applyFont="1" applyBorder="1" applyAlignment="1">
      <alignment horizontal="left" vertical="top" wrapText="1"/>
    </xf>
    <xf numFmtId="49" fontId="42" fillId="0" borderId="12" xfId="0" applyNumberFormat="1" applyFont="1" applyBorder="1" applyAlignment="1">
      <alignment horizontal="left" vertical="top"/>
    </xf>
    <xf numFmtId="49" fontId="24" fillId="0" borderId="1" xfId="0" applyNumberFormat="1" applyFont="1" applyBorder="1" applyAlignment="1">
      <alignment horizontal="left" vertical="top" wrapText="1"/>
    </xf>
    <xf numFmtId="0" fontId="99" fillId="0" borderId="1" xfId="0" applyFont="1" applyBorder="1" applyAlignment="1">
      <alignment horizontal="left" vertical="top" wrapText="1"/>
    </xf>
    <xf numFmtId="49" fontId="20" fillId="0" borderId="1" xfId="0" quotePrefix="1" applyNumberFormat="1" applyFont="1" applyBorder="1" applyAlignment="1">
      <alignment horizontal="left" vertical="top" wrapText="1"/>
    </xf>
    <xf numFmtId="49" fontId="100" fillId="0" borderId="1" xfId="0" quotePrefix="1" applyNumberFormat="1" applyFont="1" applyBorder="1" applyAlignment="1">
      <alignment horizontal="left" vertical="top" wrapText="1"/>
    </xf>
    <xf numFmtId="49" fontId="99" fillId="0" borderId="1" xfId="0" quotePrefix="1" applyNumberFormat="1" applyFont="1" applyBorder="1" applyAlignment="1">
      <alignment horizontal="left" vertical="top" wrapText="1"/>
    </xf>
    <xf numFmtId="49" fontId="32" fillId="0" borderId="0" xfId="0" applyNumberFormat="1" applyFont="1" applyAlignment="1">
      <alignment horizontal="left" vertical="top"/>
    </xf>
    <xf numFmtId="49" fontId="21" fillId="0" borderId="1" xfId="0" quotePrefix="1" applyNumberFormat="1" applyFont="1" applyBorder="1" applyAlignment="1">
      <alignment horizontal="left" vertical="top" wrapText="1"/>
    </xf>
    <xf numFmtId="49" fontId="101" fillId="0" borderId="1" xfId="0" quotePrefix="1" applyNumberFormat="1" applyFont="1" applyBorder="1" applyAlignment="1">
      <alignment horizontal="left" vertical="top" wrapText="1"/>
    </xf>
    <xf numFmtId="49" fontId="24" fillId="0" borderId="1" xfId="0" quotePrefix="1" applyNumberFormat="1" applyFont="1" applyBorder="1" applyAlignment="1">
      <alignment horizontal="left" vertical="top" wrapText="1"/>
    </xf>
    <xf numFmtId="49" fontId="102" fillId="0" borderId="12" xfId="0" applyNumberFormat="1" applyFont="1" applyBorder="1" applyAlignment="1">
      <alignment horizontal="left" vertical="top"/>
    </xf>
    <xf numFmtId="49" fontId="102" fillId="0" borderId="1" xfId="0" quotePrefix="1" applyNumberFormat="1" applyFont="1" applyBorder="1" applyAlignment="1">
      <alignment horizontal="left" vertical="top" wrapText="1"/>
    </xf>
    <xf numFmtId="49" fontId="103" fillId="0" borderId="1" xfId="0" quotePrefix="1" applyNumberFormat="1" applyFont="1" applyBorder="1" applyAlignment="1">
      <alignment horizontal="left" vertical="top" wrapText="1"/>
    </xf>
    <xf numFmtId="49" fontId="90" fillId="0" borderId="1" xfId="0" quotePrefix="1" applyNumberFormat="1" applyFont="1" applyBorder="1" applyAlignment="1">
      <alignment horizontal="left" vertical="top" wrapText="1"/>
    </xf>
    <xf numFmtId="0" fontId="6" fillId="0" borderId="0" xfId="0" applyFont="1" applyAlignment="1">
      <alignment vertical="top"/>
    </xf>
    <xf numFmtId="49" fontId="6" fillId="0" borderId="15" xfId="0" applyNumberFormat="1" applyFont="1" applyBorder="1" applyAlignment="1">
      <alignment horizontal="left" vertical="top"/>
    </xf>
    <xf numFmtId="0" fontId="6" fillId="0" borderId="15" xfId="0" applyFont="1" applyBorder="1" applyAlignment="1">
      <alignment horizontal="left" vertical="top" wrapText="1"/>
    </xf>
    <xf numFmtId="14" fontId="6" fillId="0" borderId="15" xfId="0" applyNumberFormat="1" applyFont="1" applyBorder="1" applyAlignment="1">
      <alignment horizontal="left" vertical="top" wrapText="1"/>
    </xf>
    <xf numFmtId="177" fontId="6" fillId="0" borderId="15" xfId="0" applyNumberFormat="1" applyFont="1" applyBorder="1" applyAlignment="1">
      <alignment horizontal="center" vertical="top" wrapText="1"/>
    </xf>
    <xf numFmtId="0" fontId="104" fillId="0" borderId="15" xfId="0" applyFont="1" applyBorder="1" applyAlignment="1">
      <alignment horizontal="left" vertical="top" wrapText="1"/>
    </xf>
    <xf numFmtId="0" fontId="105" fillId="0" borderId="1" xfId="0" applyFont="1" applyBorder="1" applyAlignment="1">
      <alignment horizontal="left" vertical="top" wrapText="1"/>
    </xf>
    <xf numFmtId="14" fontId="105" fillId="0" borderId="1" xfId="0" applyNumberFormat="1" applyFont="1" applyBorder="1" applyAlignment="1">
      <alignment horizontal="left" vertical="top" wrapText="1"/>
    </xf>
    <xf numFmtId="177" fontId="105" fillId="0" borderId="1" xfId="0" applyNumberFormat="1" applyFont="1" applyBorder="1" applyAlignment="1">
      <alignment horizontal="center" vertical="top" wrapText="1"/>
    </xf>
    <xf numFmtId="0" fontId="106" fillId="0" borderId="1" xfId="0" applyFont="1" applyBorder="1" applyAlignment="1">
      <alignment horizontal="left" vertical="top" wrapText="1"/>
    </xf>
    <xf numFmtId="0" fontId="5" fillId="11" borderId="1" xfId="0" applyFont="1" applyFill="1" applyBorder="1" applyAlignment="1">
      <alignment horizontal="left" vertical="top" wrapText="1"/>
    </xf>
    <xf numFmtId="0" fontId="4" fillId="15" borderId="1" xfId="0" applyFont="1" applyFill="1" applyBorder="1" applyAlignment="1">
      <alignment horizontal="left" vertical="top" wrapText="1"/>
    </xf>
    <xf numFmtId="49" fontId="4" fillId="15" borderId="1" xfId="0" applyNumberFormat="1" applyFont="1" applyFill="1" applyBorder="1" applyAlignment="1">
      <alignment horizontal="left" vertical="top" wrapText="1"/>
    </xf>
    <xf numFmtId="14" fontId="4" fillId="15" borderId="1" xfId="0" applyNumberFormat="1" applyFont="1" applyFill="1" applyBorder="1" applyAlignment="1">
      <alignment horizontal="left" vertical="top" wrapText="1"/>
    </xf>
    <xf numFmtId="177" fontId="4" fillId="15" borderId="1" xfId="0" applyNumberFormat="1" applyFont="1" applyFill="1" applyBorder="1" applyAlignment="1">
      <alignment horizontal="center" vertical="top" wrapText="1"/>
    </xf>
    <xf numFmtId="0" fontId="12" fillId="15" borderId="1" xfId="0" applyFont="1" applyFill="1" applyBorder="1" applyAlignment="1">
      <alignment horizontal="left" vertical="top" wrapText="1"/>
    </xf>
    <xf numFmtId="49" fontId="4" fillId="15" borderId="1" xfId="0" applyNumberFormat="1" applyFont="1" applyFill="1" applyBorder="1" applyAlignment="1">
      <alignment horizontal="left" vertical="top"/>
    </xf>
    <xf numFmtId="49" fontId="6" fillId="0" borderId="1" xfId="0" applyNumberFormat="1" applyFont="1" applyBorder="1" applyAlignment="1">
      <alignment horizontal="left" vertical="top"/>
    </xf>
    <xf numFmtId="0" fontId="6" fillId="11" borderId="1" xfId="0" applyFont="1" applyFill="1" applyBorder="1" applyAlignment="1">
      <alignment horizontal="left" vertical="top" wrapText="1"/>
    </xf>
    <xf numFmtId="177" fontId="6" fillId="0" borderId="1" xfId="0" applyNumberFormat="1" applyFont="1" applyBorder="1" applyAlignment="1">
      <alignment horizontal="center" vertical="top" wrapText="1"/>
    </xf>
    <xf numFmtId="0" fontId="104" fillId="0" borderId="1" xfId="0" applyFont="1" applyBorder="1" applyAlignment="1">
      <alignment horizontal="left" vertical="top" wrapText="1"/>
    </xf>
    <xf numFmtId="0" fontId="107" fillId="0" borderId="1" xfId="0" applyFont="1" applyBorder="1" applyAlignment="1">
      <alignment horizontal="left" vertical="top" wrapText="1"/>
    </xf>
    <xf numFmtId="49" fontId="4" fillId="0" borderId="16" xfId="0" applyNumberFormat="1" applyFont="1" applyBorder="1" applyAlignment="1">
      <alignment horizontal="left" vertical="top"/>
    </xf>
    <xf numFmtId="49" fontId="6" fillId="0" borderId="16" xfId="0" applyNumberFormat="1" applyFont="1" applyBorder="1" applyAlignment="1">
      <alignment horizontal="left" vertical="top"/>
    </xf>
    <xf numFmtId="0" fontId="4" fillId="0" borderId="16" xfId="0" applyFont="1" applyBorder="1" applyAlignment="1">
      <alignment horizontal="left" vertical="top" wrapText="1"/>
    </xf>
    <xf numFmtId="14" fontId="4" fillId="0" borderId="16" xfId="0" applyNumberFormat="1" applyFont="1" applyBorder="1" applyAlignment="1">
      <alignment horizontal="left" vertical="top" wrapText="1"/>
    </xf>
    <xf numFmtId="177" fontId="4" fillId="0" borderId="16" xfId="0" applyNumberFormat="1" applyFont="1" applyBorder="1" applyAlignment="1">
      <alignment horizontal="center" vertical="top" wrapText="1"/>
    </xf>
    <xf numFmtId="0" fontId="12" fillId="0" borderId="16" xfId="0" applyFont="1" applyBorder="1" applyAlignment="1">
      <alignment horizontal="left" vertical="top" wrapText="1"/>
    </xf>
    <xf numFmtId="0" fontId="6" fillId="0" borderId="16" xfId="0" applyFont="1" applyBorder="1" applyAlignment="1">
      <alignment horizontal="left" vertical="top" wrapText="1"/>
    </xf>
    <xf numFmtId="14" fontId="6" fillId="0" borderId="16" xfId="0" applyNumberFormat="1" applyFont="1" applyBorder="1" applyAlignment="1">
      <alignment horizontal="left" vertical="top" wrapText="1"/>
    </xf>
    <xf numFmtId="177" fontId="6" fillId="0" borderId="16" xfId="0" applyNumberFormat="1" applyFont="1" applyBorder="1" applyAlignment="1">
      <alignment horizontal="center" vertical="top" wrapText="1"/>
    </xf>
    <xf numFmtId="0" fontId="104" fillId="0" borderId="16" xfId="0" applyFont="1" applyBorder="1" applyAlignment="1">
      <alignment horizontal="left" vertical="top" wrapText="1"/>
    </xf>
    <xf numFmtId="49" fontId="6" fillId="0" borderId="12" xfId="0" applyNumberFormat="1" applyFont="1" applyBorder="1" applyAlignment="1">
      <alignment horizontal="left" vertical="top" wrapText="1"/>
    </xf>
    <xf numFmtId="0" fontId="6" fillId="0" borderId="12" xfId="0" applyFont="1" applyBorder="1" applyAlignment="1">
      <alignment horizontal="left" vertical="top" wrapText="1"/>
    </xf>
    <xf numFmtId="14" fontId="6" fillId="0" borderId="12" xfId="0" applyNumberFormat="1" applyFont="1" applyBorder="1" applyAlignment="1">
      <alignment horizontal="left" vertical="top" wrapText="1"/>
    </xf>
    <xf numFmtId="177" fontId="6" fillId="0" borderId="12" xfId="0" applyNumberFormat="1" applyFont="1" applyBorder="1" applyAlignment="1">
      <alignment horizontal="center" vertical="top" wrapText="1"/>
    </xf>
    <xf numFmtId="0" fontId="104" fillId="0" borderId="12" xfId="0" applyFont="1" applyBorder="1" applyAlignment="1">
      <alignment horizontal="left" vertical="top" wrapText="1"/>
    </xf>
    <xf numFmtId="0" fontId="5" fillId="0" borderId="4" xfId="0" applyFont="1" applyBorder="1" applyAlignment="1">
      <alignment horizontal="left" vertical="top" wrapText="1"/>
    </xf>
    <xf numFmtId="14" fontId="5" fillId="0" borderId="4" xfId="0" applyNumberFormat="1" applyFont="1" applyBorder="1" applyAlignment="1">
      <alignment horizontal="left" vertical="top" wrapText="1"/>
    </xf>
    <xf numFmtId="0" fontId="67" fillId="0" borderId="4" xfId="0" applyFont="1" applyBorder="1" applyAlignment="1">
      <alignment horizontal="left" vertical="top" wrapText="1"/>
    </xf>
    <xf numFmtId="0" fontId="10" fillId="0" borderId="16" xfId="0" applyFont="1" applyBorder="1" applyAlignment="1">
      <alignment horizontal="left" vertical="top" wrapText="1"/>
    </xf>
    <xf numFmtId="0" fontId="6" fillId="0" borderId="4" xfId="0" applyFont="1" applyBorder="1" applyAlignment="1">
      <alignment horizontal="left" vertical="top" wrapText="1"/>
    </xf>
    <xf numFmtId="49" fontId="6" fillId="0" borderId="0" xfId="0" applyNumberFormat="1" applyFont="1" applyAlignment="1">
      <alignment horizontal="left" vertical="top" wrapText="1"/>
    </xf>
    <xf numFmtId="0" fontId="5" fillId="0" borderId="0" xfId="0" applyFont="1" applyAlignment="1">
      <alignment horizontal="left" vertical="top" wrapText="1"/>
    </xf>
    <xf numFmtId="14" fontId="5" fillId="0" borderId="0" xfId="0" applyNumberFormat="1" applyFont="1" applyAlignment="1">
      <alignment horizontal="left" vertical="top" wrapText="1"/>
    </xf>
    <xf numFmtId="0" fontId="67" fillId="0" borderId="0" xfId="0" applyFont="1" applyAlignment="1">
      <alignment horizontal="left" vertical="top" wrapText="1"/>
    </xf>
    <xf numFmtId="0" fontId="7" fillId="0" borderId="4" xfId="0" applyFont="1" applyBorder="1" applyAlignment="1">
      <alignment horizontal="left" vertical="top" wrapText="1"/>
    </xf>
    <xf numFmtId="0" fontId="5" fillId="15" borderId="4" xfId="0" applyFont="1" applyFill="1" applyBorder="1" applyAlignment="1">
      <alignment horizontal="left" vertical="top" wrapText="1"/>
    </xf>
    <xf numFmtId="14" fontId="5" fillId="15" borderId="4" xfId="0" applyNumberFormat="1" applyFont="1" applyFill="1" applyBorder="1" applyAlignment="1">
      <alignment horizontal="left" vertical="top" wrapText="1"/>
    </xf>
    <xf numFmtId="0" fontId="67" fillId="15" borderId="4" xfId="0" applyFont="1" applyFill="1" applyBorder="1" applyAlignment="1">
      <alignment horizontal="left" vertical="top" wrapText="1"/>
    </xf>
    <xf numFmtId="0" fontId="107" fillId="0" borderId="0" xfId="0" applyFont="1">
      <alignment vertical="center"/>
    </xf>
    <xf numFmtId="0" fontId="107" fillId="0" borderId="0" xfId="0" applyFont="1" applyAlignment="1">
      <alignment horizontal="left" vertical="top"/>
    </xf>
    <xf numFmtId="0" fontId="107" fillId="0" borderId="4" xfId="0" applyFont="1" applyBorder="1" applyAlignment="1">
      <alignment horizontal="left" vertical="top"/>
    </xf>
    <xf numFmtId="0" fontId="107" fillId="0" borderId="4" xfId="0" applyFont="1" applyBorder="1" applyAlignment="1">
      <alignment horizontal="left" vertical="top" wrapText="1"/>
    </xf>
    <xf numFmtId="0" fontId="10" fillId="0" borderId="4" xfId="0" applyFont="1" applyBorder="1" applyAlignment="1">
      <alignment horizontal="left" vertical="top" wrapText="1"/>
    </xf>
    <xf numFmtId="14" fontId="107" fillId="0" borderId="4" xfId="0" applyNumberFormat="1" applyFont="1" applyBorder="1" applyAlignment="1">
      <alignment horizontal="left" vertical="top" wrapText="1"/>
    </xf>
    <xf numFmtId="0" fontId="109" fillId="0" borderId="4" xfId="0" applyFont="1" applyBorder="1" applyAlignment="1">
      <alignment horizontal="left" vertical="top" wrapText="1"/>
    </xf>
    <xf numFmtId="49" fontId="6" fillId="15" borderId="1" xfId="0" applyNumberFormat="1" applyFont="1" applyFill="1" applyBorder="1" applyAlignment="1">
      <alignment horizontal="left" vertical="top"/>
    </xf>
    <xf numFmtId="49" fontId="6" fillId="15" borderId="12" xfId="0" applyNumberFormat="1" applyFont="1" applyFill="1" applyBorder="1" applyAlignment="1">
      <alignment horizontal="left" vertical="top"/>
    </xf>
    <xf numFmtId="0" fontId="6" fillId="15" borderId="12" xfId="0" applyFont="1" applyFill="1" applyBorder="1" applyAlignment="1">
      <alignment horizontal="left" vertical="top" wrapText="1"/>
    </xf>
    <xf numFmtId="14" fontId="6" fillId="15" borderId="12" xfId="0" applyNumberFormat="1" applyFont="1" applyFill="1" applyBorder="1" applyAlignment="1">
      <alignment horizontal="left" vertical="top" wrapText="1"/>
    </xf>
    <xf numFmtId="177" fontId="6" fillId="15" borderId="12" xfId="0" applyNumberFormat="1" applyFont="1" applyFill="1" applyBorder="1" applyAlignment="1">
      <alignment horizontal="center" vertical="top" wrapText="1"/>
    </xf>
    <xf numFmtId="0" fontId="111" fillId="15" borderId="12" xfId="0" applyFont="1" applyFill="1" applyBorder="1" applyAlignment="1">
      <alignment horizontal="left" vertical="top" wrapText="1"/>
    </xf>
    <xf numFmtId="0" fontId="104" fillId="15" borderId="12" xfId="0" applyFont="1" applyFill="1" applyBorder="1" applyAlignment="1">
      <alignment horizontal="left" vertical="top" wrapText="1"/>
    </xf>
    <xf numFmtId="0" fontId="4" fillId="0" borderId="0" xfId="0" applyFont="1" applyAlignment="1">
      <alignment horizontal="left" vertical="top" wrapText="1"/>
    </xf>
    <xf numFmtId="0" fontId="94" fillId="0" borderId="0" xfId="0" applyFont="1" applyAlignment="1">
      <alignment horizontal="center" vertical="center" readingOrder="1"/>
    </xf>
    <xf numFmtId="49" fontId="6" fillId="0" borderId="6" xfId="0" applyNumberFormat="1" applyFont="1" applyBorder="1" applyAlignment="1">
      <alignment horizontal="left" vertical="top" wrapText="1"/>
    </xf>
    <xf numFmtId="49" fontId="10" fillId="0" borderId="1" xfId="0" applyNumberFormat="1" applyFont="1" applyBorder="1" applyAlignment="1">
      <alignment horizontal="left" vertical="top" wrapText="1"/>
    </xf>
    <xf numFmtId="49" fontId="4" fillId="0" borderId="16" xfId="0" applyNumberFormat="1" applyFont="1" applyBorder="1" applyAlignment="1">
      <alignment horizontal="left" vertical="top" wrapText="1"/>
    </xf>
    <xf numFmtId="49" fontId="6" fillId="0" borderId="16" xfId="0" applyNumberFormat="1" applyFont="1" applyBorder="1" applyAlignment="1">
      <alignment horizontal="left" vertical="top" wrapText="1"/>
    </xf>
    <xf numFmtId="0" fontId="4" fillId="0" borderId="4" xfId="0" applyFont="1" applyBorder="1" applyAlignment="1">
      <alignment horizontal="left" vertical="top" wrapText="1"/>
    </xf>
    <xf numFmtId="49" fontId="4" fillId="13" borderId="1" xfId="0" applyNumberFormat="1" applyFont="1" applyFill="1" applyBorder="1" applyAlignment="1">
      <alignment horizontal="left" vertical="top" wrapText="1"/>
    </xf>
    <xf numFmtId="0" fontId="57" fillId="0" borderId="0" xfId="0" applyFont="1" applyAlignment="1">
      <alignment vertical="center" wrapText="1"/>
    </xf>
    <xf numFmtId="0" fontId="4" fillId="0" borderId="17" xfId="0" applyFont="1" applyBorder="1" applyAlignment="1">
      <alignment horizontal="left" vertical="top" wrapText="1"/>
    </xf>
    <xf numFmtId="0" fontId="5" fillId="0" borderId="17" xfId="0" applyFont="1" applyBorder="1" applyAlignment="1">
      <alignment horizontal="left" vertical="top" wrapText="1"/>
    </xf>
    <xf numFmtId="0" fontId="11" fillId="0" borderId="17" xfId="0" applyFont="1" applyBorder="1" applyAlignment="1">
      <alignment horizontal="left" vertical="top" wrapText="1"/>
    </xf>
    <xf numFmtId="14" fontId="5" fillId="0" borderId="17" xfId="0" applyNumberFormat="1" applyFont="1" applyBorder="1" applyAlignment="1">
      <alignment horizontal="left" vertical="top" wrapText="1"/>
    </xf>
    <xf numFmtId="0" fontId="7" fillId="0" borderId="17" xfId="0" applyFont="1" applyBorder="1" applyAlignment="1">
      <alignment horizontal="left" vertical="top" wrapText="1"/>
    </xf>
    <xf numFmtId="0" fontId="67" fillId="0" borderId="17" xfId="0" applyFont="1" applyBorder="1" applyAlignment="1">
      <alignment horizontal="left" vertical="top" wrapText="1"/>
    </xf>
    <xf numFmtId="0" fontId="11" fillId="0" borderId="16" xfId="0" applyFont="1" applyBorder="1" applyAlignment="1">
      <alignment horizontal="left" vertical="top" wrapText="1"/>
    </xf>
    <xf numFmtId="0" fontId="10" fillId="15" borderId="1" xfId="0" applyFont="1" applyFill="1" applyBorder="1" applyAlignment="1">
      <alignment horizontal="left" vertical="top" wrapText="1"/>
    </xf>
    <xf numFmtId="0" fontId="4" fillId="0" borderId="15" xfId="0" applyFont="1" applyBorder="1" applyAlignment="1">
      <alignment horizontal="left" vertical="top" wrapText="1"/>
    </xf>
    <xf numFmtId="49" fontId="6" fillId="0" borderId="15" xfId="0" applyNumberFormat="1" applyFont="1" applyBorder="1" applyAlignment="1">
      <alignment horizontal="left" vertical="top" wrapText="1"/>
    </xf>
    <xf numFmtId="0" fontId="112" fillId="0" borderId="16" xfId="0" applyFont="1" applyBorder="1" applyAlignment="1">
      <alignment horizontal="left" vertical="center" wrapText="1" readingOrder="1"/>
    </xf>
    <xf numFmtId="0" fontId="112" fillId="0" borderId="16" xfId="0" applyFont="1" applyBorder="1" applyAlignment="1">
      <alignment horizontal="center" vertical="center" wrapText="1" readingOrder="1"/>
    </xf>
    <xf numFmtId="14" fontId="7" fillId="0" borderId="4" xfId="0" applyNumberFormat="1" applyFont="1" applyBorder="1" applyAlignment="1">
      <alignment horizontal="left" vertical="top" wrapText="1"/>
    </xf>
    <xf numFmtId="0" fontId="11" fillId="0" borderId="4" xfId="0" applyFont="1" applyBorder="1" applyAlignment="1">
      <alignment horizontal="left" vertical="top" wrapText="1"/>
    </xf>
    <xf numFmtId="0" fontId="113" fillId="0" borderId="4" xfId="0" applyFont="1" applyBorder="1" applyAlignment="1">
      <alignment horizontal="left" vertical="top" wrapText="1"/>
    </xf>
    <xf numFmtId="49" fontId="6" fillId="13" borderId="1" xfId="0" applyNumberFormat="1" applyFont="1" applyFill="1" applyBorder="1" applyAlignment="1">
      <alignment horizontal="left" vertical="top" wrapText="1"/>
    </xf>
    <xf numFmtId="0" fontId="114" fillId="16" borderId="1" xfId="0" applyFont="1" applyFill="1" applyBorder="1" applyAlignment="1">
      <alignment horizontal="center" vertical="center"/>
    </xf>
    <xf numFmtId="0" fontId="114" fillId="0" borderId="1" xfId="0" applyFont="1" applyBorder="1" applyAlignment="1">
      <alignment horizontal="center" vertical="center"/>
    </xf>
    <xf numFmtId="49" fontId="6" fillId="13" borderId="12" xfId="0" applyNumberFormat="1" applyFont="1" applyFill="1" applyBorder="1" applyAlignment="1">
      <alignment horizontal="left" vertical="top" wrapText="1"/>
    </xf>
    <xf numFmtId="0" fontId="7" fillId="0" borderId="12" xfId="0" applyFont="1" applyBorder="1" applyAlignment="1">
      <alignment horizontal="left" vertical="top" wrapText="1"/>
    </xf>
    <xf numFmtId="14" fontId="7" fillId="0" borderId="12" xfId="0" applyNumberFormat="1" applyFont="1" applyBorder="1" applyAlignment="1">
      <alignment horizontal="left" vertical="top" wrapText="1"/>
    </xf>
    <xf numFmtId="0" fontId="113" fillId="0" borderId="17" xfId="0" applyFont="1" applyBorder="1" applyAlignment="1">
      <alignment horizontal="left" vertical="top" wrapText="1"/>
    </xf>
    <xf numFmtId="0" fontId="55" fillId="0" borderId="17" xfId="0" applyFont="1" applyBorder="1" applyAlignment="1">
      <alignment horizontal="left" vertical="top" wrapText="1"/>
    </xf>
    <xf numFmtId="0" fontId="113" fillId="0" borderId="1" xfId="0" applyFont="1" applyBorder="1" applyAlignment="1">
      <alignment horizontal="left" vertical="top" wrapText="1"/>
    </xf>
    <xf numFmtId="0" fontId="11" fillId="0" borderId="12" xfId="0" applyFont="1" applyBorder="1" applyAlignment="1">
      <alignment horizontal="left" vertical="top" wrapText="1"/>
    </xf>
    <xf numFmtId="0" fontId="4" fillId="0" borderId="12" xfId="0" applyFont="1" applyBorder="1" applyAlignment="1">
      <alignment horizontal="left" vertical="top" wrapText="1"/>
    </xf>
    <xf numFmtId="0" fontId="5" fillId="0" borderId="12" xfId="0" applyFont="1" applyBorder="1" applyAlignment="1">
      <alignment horizontal="left" vertical="top" wrapText="1"/>
    </xf>
    <xf numFmtId="0" fontId="113" fillId="0" borderId="12" xfId="0" applyFont="1" applyBorder="1" applyAlignment="1">
      <alignment horizontal="left" vertical="top" wrapText="1"/>
    </xf>
    <xf numFmtId="0" fontId="7" fillId="0" borderId="12" xfId="0" applyFont="1" applyBorder="1" applyAlignment="1">
      <alignment vertical="top" wrapText="1"/>
    </xf>
    <xf numFmtId="0" fontId="55" fillId="0" borderId="12" xfId="0" applyFont="1" applyBorder="1" applyAlignment="1">
      <alignment horizontal="left" vertical="top" wrapText="1"/>
    </xf>
    <xf numFmtId="0" fontId="6" fillId="0" borderId="1" xfId="0" applyFont="1" applyBorder="1" applyAlignment="1">
      <alignment vertical="top"/>
    </xf>
    <xf numFmtId="0" fontId="3" fillId="6" borderId="2" xfId="0" applyFont="1" applyFill="1" applyBorder="1" applyAlignment="1">
      <alignment horizontal="left" vertical="top" wrapText="1"/>
    </xf>
    <xf numFmtId="0" fontId="3" fillId="5" borderId="2" xfId="0" applyFont="1" applyFill="1" applyBorder="1" applyAlignment="1">
      <alignment horizontal="left" vertical="top" wrapText="1"/>
    </xf>
    <xf numFmtId="49" fontId="6" fillId="15" borderId="1" xfId="0" applyNumberFormat="1" applyFont="1" applyFill="1" applyBorder="1" applyAlignment="1">
      <alignment horizontal="left" vertical="top" wrapText="1"/>
    </xf>
    <xf numFmtId="0" fontId="11" fillId="15" borderId="1" xfId="0" applyFont="1" applyFill="1" applyBorder="1" applyAlignment="1">
      <alignment horizontal="left" vertical="top" wrapText="1"/>
    </xf>
    <xf numFmtId="0" fontId="5" fillId="15" borderId="1" xfId="0" applyFont="1" applyFill="1" applyBorder="1" applyAlignment="1">
      <alignment horizontal="left" vertical="top" wrapText="1"/>
    </xf>
    <xf numFmtId="0" fontId="7" fillId="15" borderId="4" xfId="0" applyFont="1" applyFill="1" applyBorder="1" applyAlignment="1">
      <alignment horizontal="left" vertical="top" wrapText="1"/>
    </xf>
    <xf numFmtId="14" fontId="5" fillId="15" borderId="1" xfId="0" applyNumberFormat="1" applyFont="1" applyFill="1" applyBorder="1" applyAlignment="1">
      <alignment horizontal="left" vertical="top" wrapText="1"/>
    </xf>
    <xf numFmtId="0" fontId="7" fillId="15" borderId="1" xfId="0" applyFont="1" applyFill="1" applyBorder="1" applyAlignment="1">
      <alignment horizontal="left" vertical="top" wrapText="1"/>
    </xf>
    <xf numFmtId="0" fontId="11" fillId="15" borderId="16" xfId="0" applyFont="1" applyFill="1" applyBorder="1" applyAlignment="1">
      <alignment horizontal="left" vertical="top" wrapText="1"/>
    </xf>
    <xf numFmtId="0" fontId="67" fillId="15" borderId="1" xfId="0" applyFont="1" applyFill="1" applyBorder="1" applyAlignment="1">
      <alignment horizontal="left" vertical="top" wrapText="1"/>
    </xf>
    <xf numFmtId="0" fontId="5" fillId="15" borderId="17" xfId="0" applyFont="1" applyFill="1" applyBorder="1" applyAlignment="1">
      <alignment horizontal="left" vertical="top" wrapText="1"/>
    </xf>
    <xf numFmtId="14" fontId="7" fillId="15" borderId="1" xfId="0" applyNumberFormat="1" applyFont="1" applyFill="1" applyBorder="1" applyAlignment="1">
      <alignment horizontal="left" vertical="top" wrapText="1"/>
    </xf>
    <xf numFmtId="0" fontId="6" fillId="15" borderId="1" xfId="0" applyFont="1" applyFill="1" applyBorder="1" applyAlignment="1">
      <alignment horizontal="left" vertical="top" wrapText="1"/>
    </xf>
    <xf numFmtId="0" fontId="113" fillId="15" borderId="1" xfId="0" applyFont="1" applyFill="1" applyBorder="1" applyAlignment="1">
      <alignment horizontal="left" vertical="top" wrapText="1"/>
    </xf>
    <xf numFmtId="0" fontId="7" fillId="15" borderId="1" xfId="0" applyFont="1" applyFill="1" applyBorder="1" applyAlignment="1">
      <alignment vertical="top" wrapText="1"/>
    </xf>
    <xf numFmtId="0" fontId="17" fillId="0" borderId="5" xfId="0" applyFont="1" applyBorder="1" applyAlignment="1">
      <alignment horizontal="left" vertical="top" wrapText="1"/>
    </xf>
    <xf numFmtId="0" fontId="6" fillId="0" borderId="5" xfId="0" applyFont="1" applyBorder="1" applyAlignment="1">
      <alignment horizontal="left" vertical="top" wrapText="1"/>
    </xf>
    <xf numFmtId="0" fontId="4" fillId="0" borderId="5" xfId="0" applyFont="1" applyBorder="1" applyAlignment="1">
      <alignment horizontal="left" vertical="top" wrapText="1"/>
    </xf>
    <xf numFmtId="0" fontId="0" fillId="13" borderId="1" xfId="0" applyFill="1" applyBorder="1" applyAlignment="1">
      <alignment horizontal="center" vertical="center"/>
    </xf>
    <xf numFmtId="0" fontId="4" fillId="13"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9" fillId="0" borderId="8" xfId="0" applyFont="1" applyBorder="1" applyAlignment="1">
      <alignment horizontal="center" vertical="center" wrapText="1"/>
    </xf>
    <xf numFmtId="0" fontId="49" fillId="0" borderId="9" xfId="0" applyFont="1" applyBorder="1" applyAlignment="1">
      <alignment horizontal="center" vertical="center" wrapText="1"/>
    </xf>
    <xf numFmtId="0" fontId="51" fillId="0" borderId="8" xfId="0" applyFont="1" applyBorder="1" applyAlignment="1">
      <alignment horizontal="center" vertical="center" wrapText="1" readingOrder="1"/>
    </xf>
    <xf numFmtId="0" fontId="51" fillId="0" borderId="9" xfId="0" applyFont="1" applyBorder="1" applyAlignment="1">
      <alignment horizontal="center" vertical="center" wrapText="1" readingOrder="1"/>
    </xf>
    <xf numFmtId="0" fontId="51" fillId="0" borderId="8" xfId="0" applyFont="1" applyBorder="1" applyAlignment="1">
      <alignment horizontal="left" vertical="center" wrapText="1" readingOrder="1"/>
    </xf>
    <xf numFmtId="0" fontId="51" fillId="0" borderId="9" xfId="0" applyFont="1" applyBorder="1" applyAlignment="1">
      <alignment horizontal="left" vertical="center" wrapText="1" readingOrder="1"/>
    </xf>
    <xf numFmtId="0" fontId="49" fillId="0" borderId="10" xfId="0" applyFont="1" applyBorder="1" applyAlignment="1">
      <alignment horizontal="center" vertical="center" wrapText="1"/>
    </xf>
    <xf numFmtId="0" fontId="51" fillId="0" borderId="10" xfId="0" applyFont="1" applyBorder="1" applyAlignment="1">
      <alignment horizontal="center" vertical="center" wrapText="1" readingOrder="1"/>
    </xf>
    <xf numFmtId="0" fontId="51" fillId="0" borderId="10" xfId="0" applyFont="1" applyBorder="1" applyAlignment="1">
      <alignment horizontal="left" vertical="center" wrapText="1" readingOrder="1"/>
    </xf>
    <xf numFmtId="0" fontId="49" fillId="0" borderId="8" xfId="0" applyFont="1" applyBorder="1" applyAlignment="1">
      <alignment vertical="center" wrapText="1"/>
    </xf>
    <xf numFmtId="0" fontId="49" fillId="0" borderId="9" xfId="0" applyFont="1" applyBorder="1" applyAlignment="1">
      <alignment vertical="center" wrapText="1"/>
    </xf>
  </cellXfs>
  <cellStyles count="76">
    <cellStyle name="ハイパーリンク" xfId="75" builtinId="8"/>
    <cellStyle name="標準" xfId="0" builtinId="0"/>
    <cellStyle name="標準 10" xfId="29" xr:uid="{F4E77AB8-D80C-4C68-A166-071EE6B7DE3A}"/>
    <cellStyle name="標準 11" xfId="34" xr:uid="{05C1676B-9AA0-438E-8895-3A9F0CDFC564}"/>
    <cellStyle name="標準 12" xfId="39" xr:uid="{804B25C7-1848-4538-8B58-C973E516C32E}"/>
    <cellStyle name="標準 12 2" xfId="48" xr:uid="{1FDBE7EE-EAE1-4325-80DE-D1F8CB293B59}"/>
    <cellStyle name="標準 12 2 2" xfId="54" xr:uid="{50915370-DF60-435B-9945-122A31BC37F9}"/>
    <cellStyle name="標準 12 3" xfId="60" xr:uid="{FED53683-86B2-4AAB-9B87-90AB0675E9F7}"/>
    <cellStyle name="標準 12 4" xfId="65" xr:uid="{1D803F2D-2A4A-4DE9-A997-423A51887B79}"/>
    <cellStyle name="標準 12 5" xfId="72" xr:uid="{108473DB-1DF4-42A5-80F4-A257BF7F395A}"/>
    <cellStyle name="標準 13" xfId="44" xr:uid="{6FC3BF76-CCFB-47DA-9217-B6610F666947}"/>
    <cellStyle name="標準 13 2" xfId="50" xr:uid="{0BF48846-2C24-41A0-8947-C83DF13D219D}"/>
    <cellStyle name="標準 14" xfId="56" xr:uid="{170E44D2-0481-4F0B-8526-A23A70C0CD8C}"/>
    <cellStyle name="標準 15" xfId="62" xr:uid="{B6F86F67-AD22-4550-A922-A39A41C24AB1}"/>
    <cellStyle name="標準 16" xfId="68" xr:uid="{F063A184-366A-459C-9FA5-3F1F80392A80}"/>
    <cellStyle name="標準 2" xfId="1" xr:uid="{00000000-0005-0000-0000-000001000000}"/>
    <cellStyle name="標準 2 2" xfId="3" xr:uid="{7178C917-3803-48BC-8A50-A64C0E1B73FC}"/>
    <cellStyle name="標準 2 3" xfId="74" xr:uid="{274288EB-54EE-4582-8796-696B2B1934A6}"/>
    <cellStyle name="標準 3" xfId="2" xr:uid="{D47C5310-DE14-42AF-90F1-F7D894C8EF86}"/>
    <cellStyle name="標準 3 2" xfId="6" xr:uid="{14C2ACCD-E94F-48F4-8219-DD7E0F08EBB7}"/>
    <cellStyle name="標準 3 2 10" xfId="45" xr:uid="{121D3BE1-B92B-4B7E-8730-0EF4CF221906}"/>
    <cellStyle name="標準 3 2 10 2" xfId="51" xr:uid="{C4F199CD-3B96-4ADA-B800-23A258BDFC3C}"/>
    <cellStyle name="標準 3 2 11" xfId="57" xr:uid="{19775A53-8FD4-47B2-AD89-DED31DF3A9DF}"/>
    <cellStyle name="標準 3 2 12" xfId="63" xr:uid="{7D539C17-6924-40F8-9D6D-465B879F861E}"/>
    <cellStyle name="標準 3 2 13" xfId="69" xr:uid="{9C49F675-B17A-4D0F-A3C6-ECFCD47C24B4}"/>
    <cellStyle name="標準 3 2 2" xfId="8" xr:uid="{24AA2A48-4819-49AE-9233-C6CD34E19904}"/>
    <cellStyle name="標準 3 2 2 2" xfId="12" xr:uid="{450679B7-13ED-4914-BA42-18F56BD59912}"/>
    <cellStyle name="標準 3 2 2 2 10" xfId="70" xr:uid="{26181DB8-400D-4FE0-8DC4-E26CED3FA27A}"/>
    <cellStyle name="標準 3 2 2 2 2" xfId="18" xr:uid="{419E9C19-06C7-4C4C-BB8E-A73B468420F9}"/>
    <cellStyle name="標準 3 2 2 2 3" xfId="23" xr:uid="{E976CCB4-547F-45BA-B86C-4C9E75A6B479}"/>
    <cellStyle name="標準 3 2 2 2 4" xfId="31" xr:uid="{1756483D-7CFB-41CA-AEAF-1FCFCB1810DB}"/>
    <cellStyle name="標準 3 2 2 2 5" xfId="36" xr:uid="{F4AB344A-6B9F-41B5-BB68-FBFEA87813FD}"/>
    <cellStyle name="標準 3 2 2 2 6" xfId="41" xr:uid="{4535BF57-DD18-494D-B198-B3D66FB67C26}"/>
    <cellStyle name="標準 3 2 2 2 7" xfId="46" xr:uid="{523B334F-5DAD-4942-9DDF-D58E885CEF93}"/>
    <cellStyle name="標準 3 2 2 2 7 2" xfId="52" xr:uid="{3FD0F518-9AA7-4478-9AB2-3095D54C2AD9}"/>
    <cellStyle name="標準 3 2 2 2 8" xfId="58" xr:uid="{50F370ED-97D3-41FF-8E15-DCE1ADB1B9ED}"/>
    <cellStyle name="標準 3 2 2 2 9" xfId="64" xr:uid="{A37C3A0A-39B6-46BA-8B61-43C649BE953B}"/>
    <cellStyle name="標準 3 2 2 3" xfId="17" xr:uid="{1B6404F7-44D0-48F4-88AA-A8F1D2539889}"/>
    <cellStyle name="標準 3 2 2 4" xfId="28" xr:uid="{FC0B9FD7-9325-4598-A9C1-D9CE6B2F4704}"/>
    <cellStyle name="標準 3 2 3" xfId="11" xr:uid="{D88D68D1-3086-4B6D-A465-A11B9B6456CF}"/>
    <cellStyle name="標準 3 2 4" xfId="16" xr:uid="{D58AA98E-0865-4C76-8056-C3BAD8BA5656}"/>
    <cellStyle name="標準 3 2 5" xfId="22" xr:uid="{20DC964E-14C0-48B6-8BC3-C7DCB80F4646}"/>
    <cellStyle name="標準 3 2 6" xfId="27" xr:uid="{B24D4844-B37F-4FB5-91E2-93D12ADE4B83}"/>
    <cellStyle name="標準 3 2 7" xfId="30" xr:uid="{E851920E-EB5F-450E-B10B-E75919F96247}"/>
    <cellStyle name="標準 3 2 8" xfId="35" xr:uid="{87AE4426-3DE4-4423-842F-2EC83ED81C7E}"/>
    <cellStyle name="標準 3 2 9" xfId="40" xr:uid="{CDE32BC6-F8F2-4EEF-8827-93CC4E67879C}"/>
    <cellStyle name="標準 3 3" xfId="4" xr:uid="{A6461AFC-D515-4C12-804B-5D84DBD5BE7A}"/>
    <cellStyle name="標準 4" xfId="5" xr:uid="{61D3DD27-61A9-4FFD-B6A9-E84550DC576C}"/>
    <cellStyle name="標準 4 10" xfId="59" xr:uid="{B1D5B1FE-4C2D-411C-888E-0FDBA8C9A262}"/>
    <cellStyle name="標準 4 11" xfId="66" xr:uid="{44CC5EDC-BA34-42DD-8DFF-481CAB66F977}"/>
    <cellStyle name="標準 4 12" xfId="71" xr:uid="{8BD30245-F28B-4A45-BC7B-859ED6F5EF7E}"/>
    <cellStyle name="標準 4 2" xfId="9" xr:uid="{FB33141C-2A89-42AA-ADC6-2C8386F3D4DB}"/>
    <cellStyle name="標準 4 3" xfId="13" xr:uid="{EBA209E3-752A-4CEF-A198-C5CD9F1AB017}"/>
    <cellStyle name="標準 4 4" xfId="19" xr:uid="{A30E4F13-7BB6-4801-88C4-F7DB1BB5C844}"/>
    <cellStyle name="標準 4 5" xfId="24" xr:uid="{6AF40802-7B30-4582-97D0-1534D4219B6A}"/>
    <cellStyle name="標準 4 6" xfId="32" xr:uid="{E9DC140A-9860-4893-9DB9-50D8DA422EF5}"/>
    <cellStyle name="標準 4 7" xfId="37" xr:uid="{9981F33E-1F14-447F-B758-37A079D0BAE8}"/>
    <cellStyle name="標準 4 8" xfId="42" xr:uid="{7E11A120-0FD2-4E90-AA48-079015A371E4}"/>
    <cellStyle name="標準 4 9" xfId="47" xr:uid="{C6BB9510-64C7-4ED0-8D9F-520349F35566}"/>
    <cellStyle name="標準 4 9 2" xfId="53" xr:uid="{E6FE0AC8-373B-40E2-8F91-3D0A49885EA1}"/>
    <cellStyle name="標準 5" xfId="7" xr:uid="{BA50A2E9-0C13-4293-86B1-BA19465456F6}"/>
    <cellStyle name="標準 5 10" xfId="67" xr:uid="{6A100ACC-1BB2-448A-9F9D-87E5BBE630F7}"/>
    <cellStyle name="標準 5 11" xfId="73" xr:uid="{9CFF48AB-221E-43BB-8B09-C5A7C402C936}"/>
    <cellStyle name="標準 5 2" xfId="14" xr:uid="{1FDE2979-65E6-44F4-B2D6-C6351EFCB9A7}"/>
    <cellStyle name="標準 5 3" xfId="20" xr:uid="{6CFDE7C1-30FD-46CB-9A6D-2B6E20B60451}"/>
    <cellStyle name="標準 5 4" xfId="25" xr:uid="{7CB1FA27-859C-4FE1-B1DA-ABCB6CBD0589}"/>
    <cellStyle name="標準 5 5" xfId="33" xr:uid="{6C33A2BC-AC72-4B8C-8BA6-9741E886DAA5}"/>
    <cellStyle name="標準 5 6" xfId="38" xr:uid="{AE18E877-ED90-4930-B4E9-90036B472AA8}"/>
    <cellStyle name="標準 5 7" xfId="43" xr:uid="{038310E9-803C-491E-89BE-4B99CFED89BE}"/>
    <cellStyle name="標準 5 8" xfId="49" xr:uid="{B9D1F8AE-83A6-4367-AD29-31102216D21A}"/>
    <cellStyle name="標準 5 8 2" xfId="55" xr:uid="{BC956445-68CE-4797-BE8D-0F43F520482C}"/>
    <cellStyle name="標準 5 9" xfId="61" xr:uid="{B0A0A65D-5652-4951-9D2D-E1AD3EDAA97E}"/>
    <cellStyle name="標準 6" xfId="10" xr:uid="{052A8880-D0DB-465E-85BF-47FED1C8E5A2}"/>
    <cellStyle name="標準 7" xfId="15" xr:uid="{7A199DF7-3DDF-4BEA-9E58-562B30F59B19}"/>
    <cellStyle name="標準 8" xfId="21" xr:uid="{1C8BDE8C-9627-4A54-97D0-B81A2CE33803}"/>
    <cellStyle name="標準 9" xfId="26" xr:uid="{077A9189-DD9C-43C0-A8D6-101D6887DF43}"/>
  </cellStyles>
  <dxfs count="19">
    <dxf>
      <fill>
        <patternFill>
          <bgColor theme="0" tint="-0.24994659260841701"/>
        </patternFill>
      </fill>
    </dxf>
    <dxf>
      <fill>
        <patternFill>
          <bgColor theme="0" tint="-0.24994659260841701"/>
        </patternFill>
      </fill>
    </dxf>
    <dxf>
      <fill>
        <patternFill>
          <bgColor theme="0" tint="-0.49998474074526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colors>
    <mruColors>
      <color rgb="FF0000FF"/>
      <color rgb="FF8BE1FF"/>
      <color rgb="FFFFFF99"/>
      <color rgb="FFFF0066"/>
      <color rgb="FFFFCCFF"/>
      <color rgb="FF99FF99"/>
      <color rgb="FF000000"/>
      <color rgb="FFF79646"/>
      <color rgb="FFCCFFCC"/>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4</xdr:col>
      <xdr:colOff>257175</xdr:colOff>
      <xdr:row>165</xdr:row>
      <xdr:rowOff>638175</xdr:rowOff>
    </xdr:from>
    <xdr:to>
      <xdr:col>6</xdr:col>
      <xdr:colOff>76200</xdr:colOff>
      <xdr:row>165</xdr:row>
      <xdr:rowOff>1323975</xdr:rowOff>
    </xdr:to>
    <xdr:sp macro="" textlink="">
      <xdr:nvSpPr>
        <xdr:cNvPr id="2" name="正方形/長方形 1">
          <a:extLst>
            <a:ext uri="{FF2B5EF4-FFF2-40B4-BE49-F238E27FC236}">
              <a16:creationId xmlns:a16="http://schemas.microsoft.com/office/drawing/2014/main" id="{CEF4D087-79B4-45C4-9DFC-82FB986698E8}"/>
            </a:ext>
          </a:extLst>
        </xdr:cNvPr>
        <xdr:cNvSpPr/>
      </xdr:nvSpPr>
      <xdr:spPr>
        <a:xfrm>
          <a:off x="2276475" y="274977225"/>
          <a:ext cx="3648075" cy="6858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t>要件は開発事業者にて検討中</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myoffice.accenture.com/personal/keita_a_sakurai_accenture_com/Documents/&#12489;&#12461;&#12517;&#12513;&#12531;&#12488;/12&#26376;&#12522;&#12522;&#12540;&#12473;&#26696;&#20214;(&#35201;&#20214;&#12392;&#12426;&#12414;&#12392;&#12417;)_20250620.xlsx" TargetMode="External"/><Relationship Id="rId1" Type="http://schemas.openxmlformats.org/officeDocument/2006/relationships/externalLinkPath" Target="https://myoffice.accenture.com/personal/keita_a_sakurai_accenture_com/Documents/&#12489;&#12461;&#12517;&#12513;&#12531;&#12488;/12&#26376;&#12522;&#12522;&#12540;&#12473;&#26696;&#20214;(&#35201;&#20214;&#12392;&#12426;&#12414;&#12392;&#12417;)_202506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2月リリース案件"/>
    </sheetNames>
    <definedNames>
      <definedName name="all_data" refersTo="#REF!" sheetId="0"/>
    </defined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Honda, Keiko" id="{08DD7593-759C-4219-831D-6CBA2B4FFA26}" userId="S::keiko.honda@accenture.com::375496db-4b17-4194-84b5-e6f9bb884af8" providerId="AD"/>
  <person displayName="Sakurai, Keita A." id="{3DF56878-555F-47E4-82E8-BACB00262CF4}" userId="S::keita.a.sakurai@accenture.com::24824900-c7fb-463d-9182-1568b03f625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97" dT="2025-06-04T14:29:13.29" personId="{3DF56878-555F-47E4-82E8-BACB00262CF4}" id="{9B3D1FE5-D19E-4F7A-B515-F4E67F90255A}">
    <text>更新）
機能名を修正（原文：臨床情報登録機能）</text>
  </threadedComment>
  <threadedComment ref="L98" dT="2025-06-04T14:29:19.96" personId="{3DF56878-555F-47E4-82E8-BACB00262CF4}" id="{3A0C19F5-F976-434D-8B88-3952954E570B}">
    <text xml:space="preserve">更新）
機能名を修正（原文：臨床情報登録機能）
</text>
  </threadedComment>
  <threadedComment ref="L102" dT="2025-06-04T14:32:11.49" personId="{3DF56878-555F-47E4-82E8-BACB00262CF4}" id="{B4C46BF9-931A-4C7E-8F84-6DD787503797}">
    <text xml:space="preserve">更新）
機能名を修正（原文：臨床情報登録機能）
</text>
  </threadedComment>
  <threadedComment ref="Y102" dT="2025-06-04T14:33:04.23" personId="{08DD7593-759C-4219-831D-6CBA2B4FFA26}" id="{79134743-A031-4C2F-B65D-5F306BC88B73}">
    <text>更新）臨床情報閲覧機能→臨床情報登録機能</text>
  </threadedComment>
  <threadedComment ref="AE102" dT="2025-06-04T14:32:59.43" personId="{3DF56878-555F-47E4-82E8-BACB00262CF4}" id="{1BB01942-683A-4490-B9FA-435DD66FC63D}">
    <text xml:space="preserve">更新）
機能名を修正（原文：臨床情報登録機能）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https://teams.microsoft.com/l/message/19:c04747c02cdc4746b95e845f44b24d76@thread.tacv2/1756286937473?tenantId=c4f5cfcd-2672-4991-98f8-877042f5c9b3&amp;groupId=1b611ff1-725f-4c25-a52a-db90793cf4bb&amp;parentMessageId=1756286937473&amp;teamName=%E9%9B%BB%E5%AD%90%E3%82%AB%E3%83%AB%E3%83%86%E6%83%85%E5%A0%B1%E5%85%B1%E6%9C%89%E3%82%B5%E3%83%BC%E3%83%93%E3%82%B9%EF%BC%88%E5%A4%96%E9%83%A8%EF%BC%89&amp;channelName=020_%E5%8E%9A%E5%8A%B4%E7%9C%81%E3%83%BB%E5%9F%BA%E9%87%91%E3%83%BB%E4%BA%8B%E6%A5%AD%E8%80%85&amp;createdTime=1756286937473&amp;ngc=true"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98D88-FC5C-4105-B74F-738F55AF7201}">
  <sheetPr codeName="Sheet1">
    <tabColor theme="6" tint="-0.249977111117893"/>
    <pageSetUpPr fitToPage="1"/>
  </sheetPr>
  <dimension ref="A1:AM198"/>
  <sheetViews>
    <sheetView tabSelected="1" zoomScale="67" zoomScaleNormal="70" zoomScalePageLayoutView="40" workbookViewId="0">
      <pane xSplit="5" ySplit="4" topLeftCell="X114" activePane="bottomRight" state="frozen"/>
      <selection pane="topRight" activeCell="F1" sqref="F1"/>
      <selection pane="bottomLeft" activeCell="A5" sqref="A5"/>
      <selection pane="bottomRight" activeCell="Z125" sqref="Z125"/>
    </sheetView>
  </sheetViews>
  <sheetFormatPr defaultColWidth="9" defaultRowHeight="15" x14ac:dyDescent="0.2"/>
  <cols>
    <col min="1" max="1" width="3.08984375" style="7" customWidth="1"/>
    <col min="2" max="2" width="11.08984375" style="41" bestFit="1" customWidth="1"/>
    <col min="3" max="3" width="9.08984375" style="41" bestFit="1" customWidth="1"/>
    <col min="4" max="4" width="9.08984375" style="5" bestFit="1" customWidth="1"/>
    <col min="5" max="5" width="67.90625" style="5" customWidth="1"/>
    <col min="6" max="6" width="59.36328125" style="5" customWidth="1"/>
    <col min="7" max="7" width="12.90625" style="5" bestFit="1" customWidth="1"/>
    <col min="8" max="8" width="18.08984375" style="5" customWidth="1"/>
    <col min="9" max="9" width="11.90625" style="5" bestFit="1" customWidth="1"/>
    <col min="10" max="10" width="11" style="5" bestFit="1" customWidth="1"/>
    <col min="11" max="11" width="13.90625" style="30" bestFit="1" customWidth="1"/>
    <col min="12" max="12" width="35.36328125" style="5" customWidth="1"/>
    <col min="13" max="13" width="84" style="5" customWidth="1"/>
    <col min="14" max="14" width="43" style="440" customWidth="1"/>
    <col min="15" max="15" width="30" style="5" bestFit="1" customWidth="1"/>
    <col min="16" max="16" width="24.08984375" style="5" bestFit="1" customWidth="1"/>
    <col min="17" max="17" width="14" style="5" bestFit="1" customWidth="1"/>
    <col min="18" max="18" width="7.90625" style="5" customWidth="1"/>
    <col min="19" max="19" width="21.90625" style="5" bestFit="1" customWidth="1"/>
    <col min="20" max="20" width="9.08984375" style="5" bestFit="1" customWidth="1"/>
    <col min="21" max="21" width="15.08984375" style="5" bestFit="1" customWidth="1"/>
    <col min="22" max="22" width="17.08984375" style="5" bestFit="1" customWidth="1"/>
    <col min="23" max="23" width="25.90625" style="5" bestFit="1" customWidth="1"/>
    <col min="24" max="24" width="43.08984375" style="5" bestFit="1" customWidth="1"/>
    <col min="25" max="25" width="12.08984375" style="5" bestFit="1" customWidth="1"/>
    <col min="26" max="26" width="124.08984375" style="5" customWidth="1"/>
    <col min="27" max="27" width="24.08984375" style="5" bestFit="1" customWidth="1"/>
    <col min="28" max="28" width="24.08984375" style="440" bestFit="1" customWidth="1"/>
    <col min="29" max="29" width="10.08984375" style="5" bestFit="1" customWidth="1"/>
    <col min="30" max="30" width="16.08984375" style="5" bestFit="1" customWidth="1"/>
    <col min="31" max="31" width="3" bestFit="1" customWidth="1"/>
    <col min="32" max="32" width="9" style="7"/>
    <col min="33" max="33" width="72.08984375" style="7" hidden="1" customWidth="1"/>
    <col min="34" max="16384" width="9" style="7"/>
  </cols>
  <sheetData>
    <row r="1" spans="2:31" ht="27" customHeight="1" x14ac:dyDescent="0.2">
      <c r="B1" s="354" t="s">
        <v>0</v>
      </c>
    </row>
    <row r="2" spans="2:31" s="9" customFormat="1" ht="27" customHeight="1" x14ac:dyDescent="0.2">
      <c r="B2" s="42" t="s">
        <v>1</v>
      </c>
      <c r="C2" s="42"/>
      <c r="D2" s="18"/>
      <c r="E2" s="18"/>
      <c r="F2" s="43"/>
      <c r="G2" s="18"/>
      <c r="H2" s="18"/>
      <c r="I2" s="18"/>
      <c r="J2" s="18"/>
      <c r="K2" s="28"/>
      <c r="L2" s="18"/>
      <c r="M2" s="18"/>
      <c r="N2" s="481"/>
      <c r="O2" s="18"/>
      <c r="P2" s="18"/>
      <c r="Q2" s="18"/>
      <c r="R2" s="18"/>
      <c r="S2" s="38"/>
      <c r="T2" s="19" t="s">
        <v>2</v>
      </c>
      <c r="U2" s="27"/>
      <c r="V2" s="27"/>
      <c r="W2" s="20"/>
      <c r="X2" s="21" t="s">
        <v>3</v>
      </c>
      <c r="Y2" s="22"/>
      <c r="Z2" s="22"/>
      <c r="AA2" s="22"/>
      <c r="AB2" s="480"/>
      <c r="AC2" s="22"/>
      <c r="AD2" s="39"/>
      <c r="AE2" s="15"/>
    </row>
    <row r="3" spans="2:31" s="26" customFormat="1" ht="27" customHeight="1" x14ac:dyDescent="0.2">
      <c r="B3" s="25" t="s">
        <v>4</v>
      </c>
      <c r="C3" s="40" t="s">
        <v>5</v>
      </c>
      <c r="D3" s="10" t="s">
        <v>6</v>
      </c>
      <c r="E3" s="37" t="s">
        <v>7</v>
      </c>
      <c r="F3" s="37" t="s">
        <v>8</v>
      </c>
      <c r="G3" s="10" t="s">
        <v>9</v>
      </c>
      <c r="H3" s="10" t="s">
        <v>10</v>
      </c>
      <c r="I3" s="10" t="s">
        <v>11</v>
      </c>
      <c r="J3" s="10" t="s">
        <v>12</v>
      </c>
      <c r="K3" s="29" t="s">
        <v>13</v>
      </c>
      <c r="L3" s="10" t="s">
        <v>14</v>
      </c>
      <c r="M3" s="10" t="s">
        <v>15</v>
      </c>
      <c r="N3" s="10" t="s">
        <v>16</v>
      </c>
      <c r="O3" s="10" t="s">
        <v>17</v>
      </c>
      <c r="P3" s="10" t="s">
        <v>18</v>
      </c>
      <c r="Q3" s="10" t="s">
        <v>19</v>
      </c>
      <c r="R3" s="10" t="s">
        <v>20</v>
      </c>
      <c r="S3" s="10" t="s">
        <v>21</v>
      </c>
      <c r="T3" s="11" t="s">
        <v>22</v>
      </c>
      <c r="U3" s="11" t="s">
        <v>23</v>
      </c>
      <c r="V3" s="11" t="s">
        <v>24</v>
      </c>
      <c r="W3" s="11" t="s">
        <v>25</v>
      </c>
      <c r="X3" s="12" t="s">
        <v>26</v>
      </c>
      <c r="Y3" s="12" t="s">
        <v>27</v>
      </c>
      <c r="Z3" s="12" t="s">
        <v>28</v>
      </c>
      <c r="AA3" s="12" t="s">
        <v>29</v>
      </c>
      <c r="AB3" s="12" t="s">
        <v>30</v>
      </c>
      <c r="AC3" s="12" t="s">
        <v>31</v>
      </c>
      <c r="AD3" s="12" t="s">
        <v>32</v>
      </c>
    </row>
    <row r="4" spans="2:31" s="26" customFormat="1" ht="27" customHeight="1" x14ac:dyDescent="0.2">
      <c r="B4" s="25"/>
      <c r="C4" s="40"/>
      <c r="D4" s="10"/>
      <c r="E4" s="37"/>
      <c r="F4" s="37" t="s">
        <v>33</v>
      </c>
      <c r="G4" s="10"/>
      <c r="H4" s="10"/>
      <c r="I4" s="10"/>
      <c r="J4" s="10"/>
      <c r="K4" s="29"/>
      <c r="L4" s="10"/>
      <c r="M4" s="10"/>
      <c r="N4" s="10"/>
      <c r="O4" s="10" t="s">
        <v>34</v>
      </c>
      <c r="P4" s="10" t="s">
        <v>35</v>
      </c>
      <c r="Q4" s="10"/>
      <c r="R4" s="10"/>
      <c r="S4" s="10" t="s">
        <v>36</v>
      </c>
      <c r="T4" s="11"/>
      <c r="U4" s="11" t="s">
        <v>37</v>
      </c>
      <c r="V4" s="11" t="s">
        <v>38</v>
      </c>
      <c r="W4" s="11"/>
      <c r="X4" s="12"/>
      <c r="Y4" s="12"/>
      <c r="Z4" s="12"/>
      <c r="AA4" s="12"/>
      <c r="AB4" s="12"/>
      <c r="AC4" s="12"/>
      <c r="AD4" s="12"/>
    </row>
    <row r="5" spans="2:31" ht="150" x14ac:dyDescent="0.2">
      <c r="B5" s="164" t="s">
        <v>39</v>
      </c>
      <c r="C5" s="165" t="s">
        <v>40</v>
      </c>
      <c r="D5" s="82" t="s">
        <v>41</v>
      </c>
      <c r="E5" s="82" t="s">
        <v>42</v>
      </c>
      <c r="F5" s="4" t="s">
        <v>43</v>
      </c>
      <c r="G5" s="82" t="s">
        <v>44</v>
      </c>
      <c r="H5" s="4" t="s">
        <v>45</v>
      </c>
      <c r="I5" s="82" t="s">
        <v>46</v>
      </c>
      <c r="J5" s="4" t="s">
        <v>47</v>
      </c>
      <c r="K5" s="170">
        <v>45748</v>
      </c>
      <c r="L5" s="82" t="s">
        <v>48</v>
      </c>
      <c r="M5" s="4" t="s">
        <v>49</v>
      </c>
      <c r="N5" s="4" t="s">
        <v>50</v>
      </c>
      <c r="O5" s="82" t="s">
        <v>51</v>
      </c>
      <c r="P5" s="4" t="s">
        <v>52</v>
      </c>
      <c r="Q5" s="4" t="s">
        <v>53</v>
      </c>
      <c r="R5" s="4" t="s">
        <v>54</v>
      </c>
      <c r="S5" s="82" t="s">
        <v>55</v>
      </c>
      <c r="T5" s="82" t="s">
        <v>55</v>
      </c>
      <c r="U5" s="93"/>
      <c r="V5" s="4"/>
      <c r="W5" s="4" t="s">
        <v>56</v>
      </c>
      <c r="X5" s="4" t="s">
        <v>57</v>
      </c>
      <c r="Y5" s="82" t="s">
        <v>58</v>
      </c>
      <c r="Z5" s="82" t="s">
        <v>59</v>
      </c>
      <c r="AA5" s="4"/>
      <c r="AB5" s="4" t="s">
        <v>60</v>
      </c>
      <c r="AC5" s="4"/>
      <c r="AD5" s="33"/>
      <c r="AE5" s="41" t="s">
        <v>61</v>
      </c>
    </row>
    <row r="6" spans="2:31" ht="150" x14ac:dyDescent="0.2">
      <c r="B6" s="164" t="s">
        <v>62</v>
      </c>
      <c r="C6" s="165" t="s">
        <v>63</v>
      </c>
      <c r="D6" s="4" t="s">
        <v>64</v>
      </c>
      <c r="E6" s="4" t="s">
        <v>65</v>
      </c>
      <c r="F6" s="4" t="s">
        <v>66</v>
      </c>
      <c r="G6" s="4" t="s">
        <v>44</v>
      </c>
      <c r="H6" s="4" t="s">
        <v>67</v>
      </c>
      <c r="I6" s="4" t="s">
        <v>46</v>
      </c>
      <c r="J6" s="4" t="s">
        <v>47</v>
      </c>
      <c r="K6" s="170">
        <v>45748</v>
      </c>
      <c r="L6" s="4" t="s">
        <v>68</v>
      </c>
      <c r="M6" s="4" t="s">
        <v>69</v>
      </c>
      <c r="N6" s="4" t="s">
        <v>70</v>
      </c>
      <c r="O6" s="4" t="s">
        <v>71</v>
      </c>
      <c r="P6" s="4" t="s">
        <v>72</v>
      </c>
      <c r="Q6" s="4" t="s">
        <v>73</v>
      </c>
      <c r="R6" s="4"/>
      <c r="S6" s="82" t="s">
        <v>55</v>
      </c>
      <c r="T6" s="4" t="s">
        <v>55</v>
      </c>
      <c r="U6" s="93"/>
      <c r="V6" s="4"/>
      <c r="W6" s="4" t="s">
        <v>74</v>
      </c>
      <c r="X6" s="4" t="s">
        <v>75</v>
      </c>
      <c r="Y6" s="4" t="s">
        <v>58</v>
      </c>
      <c r="Z6" s="4" t="s">
        <v>76</v>
      </c>
      <c r="AA6" s="94"/>
      <c r="AB6" s="4"/>
      <c r="AC6" s="94"/>
      <c r="AD6" s="94"/>
      <c r="AE6" s="41" t="s">
        <v>61</v>
      </c>
    </row>
    <row r="7" spans="2:31" ht="135" x14ac:dyDescent="0.2">
      <c r="B7" s="164" t="s">
        <v>77</v>
      </c>
      <c r="C7" s="165" t="s">
        <v>78</v>
      </c>
      <c r="D7" s="4" t="s">
        <v>79</v>
      </c>
      <c r="E7" s="4" t="s">
        <v>80</v>
      </c>
      <c r="F7" s="4" t="s">
        <v>81</v>
      </c>
      <c r="G7" s="4" t="s">
        <v>82</v>
      </c>
      <c r="H7" s="4" t="s">
        <v>83</v>
      </c>
      <c r="I7" s="4" t="s">
        <v>46</v>
      </c>
      <c r="J7" s="4" t="s">
        <v>47</v>
      </c>
      <c r="K7" s="170">
        <v>45748</v>
      </c>
      <c r="L7" s="4" t="s">
        <v>84</v>
      </c>
      <c r="M7" s="4" t="s">
        <v>85</v>
      </c>
      <c r="N7" s="4" t="s">
        <v>86</v>
      </c>
      <c r="O7" s="4" t="s">
        <v>73</v>
      </c>
      <c r="P7" s="4" t="s">
        <v>73</v>
      </c>
      <c r="Q7" s="4" t="s">
        <v>87</v>
      </c>
      <c r="R7" s="4"/>
      <c r="S7" s="82" t="s">
        <v>88</v>
      </c>
      <c r="T7" s="4" t="s">
        <v>89</v>
      </c>
      <c r="U7" s="93"/>
      <c r="V7" s="4"/>
      <c r="W7" s="4"/>
      <c r="X7" s="3" t="s">
        <v>90</v>
      </c>
      <c r="Y7" s="4" t="s">
        <v>58</v>
      </c>
      <c r="Z7" s="3" t="s">
        <v>91</v>
      </c>
      <c r="AA7" s="94"/>
      <c r="AB7" s="3" t="s">
        <v>92</v>
      </c>
      <c r="AC7" s="94"/>
      <c r="AD7" s="94"/>
      <c r="AE7" s="41"/>
    </row>
    <row r="8" spans="2:31" ht="227.15" customHeight="1" x14ac:dyDescent="0.2">
      <c r="B8" s="164" t="s">
        <v>93</v>
      </c>
      <c r="C8" s="165" t="s">
        <v>94</v>
      </c>
      <c r="D8" s="4" t="s">
        <v>79</v>
      </c>
      <c r="E8" s="4" t="s">
        <v>95</v>
      </c>
      <c r="F8" s="4" t="s">
        <v>96</v>
      </c>
      <c r="G8" s="4" t="s">
        <v>97</v>
      </c>
      <c r="H8" s="4" t="s">
        <v>98</v>
      </c>
      <c r="I8" s="4" t="s">
        <v>46</v>
      </c>
      <c r="J8" s="4" t="s">
        <v>99</v>
      </c>
      <c r="K8" s="170">
        <v>45748</v>
      </c>
      <c r="L8" s="4" t="s">
        <v>100</v>
      </c>
      <c r="M8" s="4" t="s">
        <v>101</v>
      </c>
      <c r="N8" s="4" t="s">
        <v>102</v>
      </c>
      <c r="O8" s="4" t="s">
        <v>103</v>
      </c>
      <c r="P8" s="4"/>
      <c r="Q8" s="4" t="s">
        <v>104</v>
      </c>
      <c r="R8" s="4"/>
      <c r="S8" s="82" t="s">
        <v>105</v>
      </c>
      <c r="T8" s="4" t="s">
        <v>89</v>
      </c>
      <c r="U8" s="93"/>
      <c r="V8" s="4"/>
      <c r="W8" s="4"/>
      <c r="X8" s="4" t="s">
        <v>90</v>
      </c>
      <c r="Y8" s="4" t="s">
        <v>58</v>
      </c>
      <c r="Z8" s="4" t="s">
        <v>106</v>
      </c>
      <c r="AA8" s="94"/>
      <c r="AB8" s="4"/>
      <c r="AC8" s="94"/>
      <c r="AD8" s="94"/>
      <c r="AE8" s="41"/>
    </row>
    <row r="9" spans="2:31" ht="150" x14ac:dyDescent="0.2">
      <c r="B9" s="164" t="s">
        <v>93</v>
      </c>
      <c r="C9" s="165" t="s">
        <v>107</v>
      </c>
      <c r="D9" s="4" t="s">
        <v>79</v>
      </c>
      <c r="E9" s="4" t="s">
        <v>95</v>
      </c>
      <c r="F9" s="4" t="s">
        <v>108</v>
      </c>
      <c r="G9" s="4" t="s">
        <v>97</v>
      </c>
      <c r="H9" s="4" t="s">
        <v>98</v>
      </c>
      <c r="I9" s="4" t="s">
        <v>46</v>
      </c>
      <c r="J9" s="4" t="s">
        <v>99</v>
      </c>
      <c r="K9" s="170">
        <v>45748</v>
      </c>
      <c r="L9" s="4" t="s">
        <v>100</v>
      </c>
      <c r="M9" s="4" t="s">
        <v>101</v>
      </c>
      <c r="N9" s="4" t="s">
        <v>102</v>
      </c>
      <c r="O9" s="4" t="s">
        <v>103</v>
      </c>
      <c r="P9" s="4"/>
      <c r="Q9" s="4" t="s">
        <v>104</v>
      </c>
      <c r="R9" s="4"/>
      <c r="S9" s="82" t="s">
        <v>105</v>
      </c>
      <c r="T9" s="4" t="s">
        <v>89</v>
      </c>
      <c r="U9" s="93"/>
      <c r="V9" s="4"/>
      <c r="W9" s="4"/>
      <c r="X9" s="4" t="s">
        <v>90</v>
      </c>
      <c r="Y9" s="4" t="s">
        <v>109</v>
      </c>
      <c r="Z9" s="4" t="s">
        <v>110</v>
      </c>
      <c r="AA9" s="94"/>
      <c r="AB9" s="4"/>
      <c r="AC9" s="94"/>
      <c r="AD9" s="94"/>
      <c r="AE9" s="41"/>
    </row>
    <row r="10" spans="2:31" ht="150" x14ac:dyDescent="0.2">
      <c r="B10" s="164" t="s">
        <v>111</v>
      </c>
      <c r="C10" s="165" t="s">
        <v>112</v>
      </c>
      <c r="D10" s="4" t="s">
        <v>79</v>
      </c>
      <c r="E10" s="4" t="s">
        <v>95</v>
      </c>
      <c r="F10" s="4" t="s">
        <v>108</v>
      </c>
      <c r="G10" s="4" t="s">
        <v>97</v>
      </c>
      <c r="H10" s="4" t="s">
        <v>98</v>
      </c>
      <c r="I10" s="4" t="s">
        <v>46</v>
      </c>
      <c r="J10" s="4" t="s">
        <v>99</v>
      </c>
      <c r="K10" s="170">
        <v>45748</v>
      </c>
      <c r="L10" s="4" t="s">
        <v>100</v>
      </c>
      <c r="M10" s="4" t="s">
        <v>101</v>
      </c>
      <c r="N10" s="4" t="s">
        <v>102</v>
      </c>
      <c r="O10" s="4" t="s">
        <v>103</v>
      </c>
      <c r="P10" s="4"/>
      <c r="Q10" s="4" t="s">
        <v>104</v>
      </c>
      <c r="R10" s="4"/>
      <c r="S10" s="82" t="s">
        <v>105</v>
      </c>
      <c r="T10" s="4" t="s">
        <v>89</v>
      </c>
      <c r="U10" s="93"/>
      <c r="V10" s="4"/>
      <c r="W10" s="4"/>
      <c r="X10" s="4" t="s">
        <v>90</v>
      </c>
      <c r="Y10" s="4" t="s">
        <v>113</v>
      </c>
      <c r="Z10" s="4" t="s">
        <v>114</v>
      </c>
      <c r="AA10" s="94"/>
      <c r="AB10" s="4"/>
      <c r="AC10" s="94"/>
      <c r="AD10" s="94"/>
      <c r="AE10" s="41"/>
    </row>
    <row r="11" spans="2:31" ht="135" x14ac:dyDescent="0.2">
      <c r="B11" s="164" t="s">
        <v>115</v>
      </c>
      <c r="C11" s="165" t="s">
        <v>116</v>
      </c>
      <c r="D11" s="4" t="s">
        <v>117</v>
      </c>
      <c r="E11" s="4" t="s">
        <v>118</v>
      </c>
      <c r="F11" s="4" t="s">
        <v>119</v>
      </c>
      <c r="G11" s="4" t="s">
        <v>82</v>
      </c>
      <c r="H11" s="4" t="s">
        <v>98</v>
      </c>
      <c r="I11" s="4" t="s">
        <v>46</v>
      </c>
      <c r="J11" s="4" t="s">
        <v>99</v>
      </c>
      <c r="K11" s="170">
        <v>45748</v>
      </c>
      <c r="L11" s="4" t="s">
        <v>120</v>
      </c>
      <c r="M11" s="4" t="s">
        <v>121</v>
      </c>
      <c r="N11" s="4" t="s">
        <v>122</v>
      </c>
      <c r="O11" s="4"/>
      <c r="P11" s="4"/>
      <c r="Q11" s="4" t="s">
        <v>123</v>
      </c>
      <c r="R11" s="4"/>
      <c r="S11" s="4" t="s">
        <v>124</v>
      </c>
      <c r="T11" s="4" t="s">
        <v>89</v>
      </c>
      <c r="U11" s="93"/>
      <c r="V11" s="4"/>
      <c r="W11" s="4"/>
      <c r="X11" s="4"/>
      <c r="Y11" s="4"/>
      <c r="Z11" s="4"/>
      <c r="AA11" s="94"/>
      <c r="AB11" s="4"/>
      <c r="AC11" s="94"/>
      <c r="AD11" s="94"/>
      <c r="AE11" s="41"/>
    </row>
    <row r="12" spans="2:31" ht="135" x14ac:dyDescent="0.2">
      <c r="B12" s="164" t="s">
        <v>115</v>
      </c>
      <c r="C12" s="165" t="s">
        <v>125</v>
      </c>
      <c r="D12" s="4" t="s">
        <v>117</v>
      </c>
      <c r="E12" s="4" t="s">
        <v>118</v>
      </c>
      <c r="F12" s="4" t="s">
        <v>119</v>
      </c>
      <c r="G12" s="4" t="s">
        <v>82</v>
      </c>
      <c r="H12" s="4" t="s">
        <v>98</v>
      </c>
      <c r="I12" s="4" t="s">
        <v>46</v>
      </c>
      <c r="J12" s="4" t="s">
        <v>99</v>
      </c>
      <c r="K12" s="170">
        <v>45748</v>
      </c>
      <c r="L12" s="4" t="s">
        <v>120</v>
      </c>
      <c r="M12" s="4" t="s">
        <v>121</v>
      </c>
      <c r="N12" s="4" t="s">
        <v>122</v>
      </c>
      <c r="O12" s="4"/>
      <c r="P12" s="4"/>
      <c r="Q12" s="4" t="s">
        <v>123</v>
      </c>
      <c r="R12" s="4"/>
      <c r="S12" s="4" t="s">
        <v>124</v>
      </c>
      <c r="T12" s="4" t="s">
        <v>89</v>
      </c>
      <c r="U12" s="93"/>
      <c r="V12" s="4"/>
      <c r="W12" s="4"/>
      <c r="X12" s="4" t="s">
        <v>126</v>
      </c>
      <c r="Y12" s="4" t="s">
        <v>58</v>
      </c>
      <c r="Z12" s="4" t="s">
        <v>127</v>
      </c>
      <c r="AA12" s="94"/>
      <c r="AB12" s="4"/>
      <c r="AC12" s="94"/>
      <c r="AD12" s="94"/>
      <c r="AE12" s="41"/>
    </row>
    <row r="13" spans="2:31" ht="120" x14ac:dyDescent="0.2">
      <c r="B13" s="442" t="s">
        <v>128</v>
      </c>
      <c r="C13" s="355" t="s">
        <v>129</v>
      </c>
      <c r="D13" s="356" t="s">
        <v>130</v>
      </c>
      <c r="E13" s="4" t="s">
        <v>131</v>
      </c>
      <c r="F13" s="4" t="s">
        <v>119</v>
      </c>
      <c r="G13" s="356" t="s">
        <v>82</v>
      </c>
      <c r="H13" s="356" t="s">
        <v>98</v>
      </c>
      <c r="I13" s="356" t="s">
        <v>46</v>
      </c>
      <c r="J13" s="356" t="s">
        <v>99</v>
      </c>
      <c r="K13" s="357">
        <v>45748</v>
      </c>
      <c r="L13" s="356" t="s">
        <v>132</v>
      </c>
      <c r="M13" s="356" t="s">
        <v>133</v>
      </c>
      <c r="N13" s="356" t="s">
        <v>134</v>
      </c>
      <c r="O13" s="4" t="s">
        <v>135</v>
      </c>
      <c r="P13" s="356"/>
      <c r="Q13" s="4" t="s">
        <v>123</v>
      </c>
      <c r="R13" s="356"/>
      <c r="S13" s="4" t="s">
        <v>124</v>
      </c>
      <c r="T13" s="4"/>
      <c r="U13" s="93"/>
      <c r="V13" s="4"/>
      <c r="W13" s="4"/>
      <c r="X13" s="4" t="s">
        <v>126</v>
      </c>
      <c r="Y13" s="4" t="s">
        <v>109</v>
      </c>
      <c r="Z13" s="4" t="s">
        <v>136</v>
      </c>
      <c r="AA13" s="94"/>
      <c r="AB13" s="4"/>
      <c r="AC13" s="94"/>
      <c r="AD13" s="94"/>
      <c r="AE13" s="41"/>
    </row>
    <row r="14" spans="2:31" ht="225" x14ac:dyDescent="0.2">
      <c r="B14" s="442" t="s">
        <v>137</v>
      </c>
      <c r="C14" s="355" t="s">
        <v>138</v>
      </c>
      <c r="D14" s="356" t="s">
        <v>139</v>
      </c>
      <c r="E14" s="4" t="s">
        <v>140</v>
      </c>
      <c r="F14" s="4" t="s">
        <v>141</v>
      </c>
      <c r="G14" s="356" t="s">
        <v>142</v>
      </c>
      <c r="H14" s="356" t="s">
        <v>98</v>
      </c>
      <c r="I14" s="356" t="s">
        <v>46</v>
      </c>
      <c r="J14" s="356" t="s">
        <v>99</v>
      </c>
      <c r="K14" s="357">
        <v>45748</v>
      </c>
      <c r="L14" s="356" t="s">
        <v>143</v>
      </c>
      <c r="M14" s="4"/>
      <c r="N14" s="356" t="s">
        <v>144</v>
      </c>
      <c r="O14" s="356" t="s">
        <v>73</v>
      </c>
      <c r="P14" s="356" t="s">
        <v>72</v>
      </c>
      <c r="Q14" s="356" t="s">
        <v>73</v>
      </c>
      <c r="R14" s="356"/>
      <c r="S14" s="358" t="s">
        <v>145</v>
      </c>
      <c r="T14" s="3" t="s">
        <v>55</v>
      </c>
      <c r="U14" s="93"/>
      <c r="V14" s="4"/>
      <c r="W14" s="3" t="s">
        <v>146</v>
      </c>
      <c r="X14" s="4"/>
      <c r="Y14" s="4" t="s">
        <v>147</v>
      </c>
      <c r="Z14" s="4" t="s">
        <v>148</v>
      </c>
      <c r="AA14" s="94"/>
      <c r="AB14" s="4"/>
      <c r="AC14" s="94"/>
      <c r="AD14" s="94"/>
      <c r="AE14" s="41"/>
    </row>
    <row r="15" spans="2:31" ht="345" x14ac:dyDescent="0.2">
      <c r="B15" s="442" t="s">
        <v>149</v>
      </c>
      <c r="C15" s="355" t="s">
        <v>150</v>
      </c>
      <c r="D15" s="356" t="s">
        <v>139</v>
      </c>
      <c r="E15" s="95" t="s">
        <v>151</v>
      </c>
      <c r="F15" s="356" t="s">
        <v>152</v>
      </c>
      <c r="G15" s="356" t="s">
        <v>142</v>
      </c>
      <c r="H15" s="356" t="s">
        <v>98</v>
      </c>
      <c r="I15" s="356" t="s">
        <v>46</v>
      </c>
      <c r="J15" s="356" t="s">
        <v>47</v>
      </c>
      <c r="K15" s="357">
        <v>45748</v>
      </c>
      <c r="L15" s="356" t="s">
        <v>153</v>
      </c>
      <c r="M15" s="356"/>
      <c r="N15" s="356"/>
      <c r="O15" s="356" t="s">
        <v>73</v>
      </c>
      <c r="P15" s="356"/>
      <c r="Q15" s="356"/>
      <c r="R15" s="356"/>
      <c r="S15" s="358" t="s">
        <v>154</v>
      </c>
      <c r="T15" s="4"/>
      <c r="U15" s="93"/>
      <c r="V15" s="4"/>
      <c r="W15" s="4"/>
      <c r="X15" s="4" t="s">
        <v>155</v>
      </c>
      <c r="Y15" s="4" t="s">
        <v>58</v>
      </c>
      <c r="Z15" s="4" t="s">
        <v>156</v>
      </c>
      <c r="AA15" s="4"/>
      <c r="AB15" s="4"/>
      <c r="AC15" s="4"/>
      <c r="AD15" s="4"/>
      <c r="AE15" s="41" t="s">
        <v>61</v>
      </c>
    </row>
    <row r="16" spans="2:31" ht="165" x14ac:dyDescent="0.2">
      <c r="B16" s="442" t="s">
        <v>149</v>
      </c>
      <c r="C16" s="355" t="s">
        <v>157</v>
      </c>
      <c r="D16" s="356" t="s">
        <v>139</v>
      </c>
      <c r="E16" s="95" t="s">
        <v>151</v>
      </c>
      <c r="F16" s="356" t="s">
        <v>152</v>
      </c>
      <c r="G16" s="356" t="s">
        <v>142</v>
      </c>
      <c r="H16" s="356" t="s">
        <v>98</v>
      </c>
      <c r="I16" s="356" t="s">
        <v>46</v>
      </c>
      <c r="J16" s="356" t="s">
        <v>47</v>
      </c>
      <c r="K16" s="357">
        <v>45748</v>
      </c>
      <c r="L16" s="356" t="s">
        <v>153</v>
      </c>
      <c r="M16" s="356"/>
      <c r="N16" s="356"/>
      <c r="O16" s="356" t="s">
        <v>73</v>
      </c>
      <c r="P16" s="356"/>
      <c r="Q16" s="356"/>
      <c r="R16" s="356"/>
      <c r="S16" s="358" t="s">
        <v>154</v>
      </c>
      <c r="T16" s="4"/>
      <c r="U16" s="93"/>
      <c r="V16" s="4"/>
      <c r="W16" s="4"/>
      <c r="X16" s="4" t="s">
        <v>155</v>
      </c>
      <c r="Y16" s="4" t="s">
        <v>109</v>
      </c>
      <c r="Z16" s="4" t="s">
        <v>158</v>
      </c>
      <c r="AA16" s="4"/>
      <c r="AB16" s="4"/>
      <c r="AC16" s="4"/>
      <c r="AD16" s="4"/>
      <c r="AE16" s="41"/>
    </row>
    <row r="17" spans="2:31" ht="135" x14ac:dyDescent="0.2">
      <c r="B17" s="442" t="s">
        <v>149</v>
      </c>
      <c r="C17" s="355" t="s">
        <v>159</v>
      </c>
      <c r="D17" s="356" t="s">
        <v>139</v>
      </c>
      <c r="E17" s="95" t="s">
        <v>151</v>
      </c>
      <c r="F17" s="356" t="s">
        <v>160</v>
      </c>
      <c r="G17" s="356" t="s">
        <v>142</v>
      </c>
      <c r="H17" s="356" t="s">
        <v>161</v>
      </c>
      <c r="I17" s="356" t="s">
        <v>162</v>
      </c>
      <c r="J17" s="356" t="s">
        <v>163</v>
      </c>
      <c r="K17" s="357">
        <v>46273</v>
      </c>
      <c r="L17" s="356"/>
      <c r="M17" s="356"/>
      <c r="N17" s="356"/>
      <c r="O17" s="356"/>
      <c r="P17" s="356"/>
      <c r="Q17" s="356"/>
      <c r="R17" s="356"/>
      <c r="S17" s="358" t="s">
        <v>154</v>
      </c>
      <c r="T17" s="4"/>
      <c r="U17" s="93"/>
      <c r="V17" s="4"/>
      <c r="W17" s="4"/>
      <c r="X17" s="4" t="s">
        <v>164</v>
      </c>
      <c r="Y17" s="4" t="s">
        <v>58</v>
      </c>
      <c r="Z17" s="4" t="s">
        <v>165</v>
      </c>
      <c r="AA17" s="4"/>
      <c r="AB17" s="4"/>
      <c r="AC17" s="4"/>
      <c r="AD17" s="4"/>
      <c r="AE17" s="41"/>
    </row>
    <row r="18" spans="2:31" ht="105" x14ac:dyDescent="0.2">
      <c r="B18" s="442" t="s">
        <v>166</v>
      </c>
      <c r="C18" s="355" t="s">
        <v>167</v>
      </c>
      <c r="D18" s="356" t="s">
        <v>139</v>
      </c>
      <c r="E18" s="95" t="s">
        <v>168</v>
      </c>
      <c r="F18" s="4" t="s">
        <v>108</v>
      </c>
      <c r="G18" s="356" t="s">
        <v>142</v>
      </c>
      <c r="H18" s="356" t="s">
        <v>98</v>
      </c>
      <c r="I18" s="356" t="s">
        <v>46</v>
      </c>
      <c r="J18" s="356" t="s">
        <v>99</v>
      </c>
      <c r="K18" s="357">
        <v>45748</v>
      </c>
      <c r="L18" s="356" t="s">
        <v>169</v>
      </c>
      <c r="M18" s="356"/>
      <c r="N18" s="356"/>
      <c r="O18" s="356" t="s">
        <v>73</v>
      </c>
      <c r="P18" s="356"/>
      <c r="Q18" s="356"/>
      <c r="R18" s="356"/>
      <c r="S18" s="82" t="s">
        <v>105</v>
      </c>
      <c r="T18" s="4"/>
      <c r="U18" s="93"/>
      <c r="V18" s="4"/>
      <c r="W18" s="4"/>
      <c r="X18" s="4"/>
      <c r="Y18" s="4"/>
      <c r="Z18" s="4"/>
      <c r="AA18" s="4"/>
      <c r="AB18" s="4"/>
      <c r="AC18" s="4"/>
      <c r="AD18" s="4"/>
      <c r="AE18" s="41"/>
    </row>
    <row r="19" spans="2:31" ht="105" x14ac:dyDescent="0.2">
      <c r="B19" s="442" t="s">
        <v>170</v>
      </c>
      <c r="C19" s="355" t="s">
        <v>171</v>
      </c>
      <c r="D19" s="356" t="s">
        <v>139</v>
      </c>
      <c r="E19" s="95" t="s">
        <v>172</v>
      </c>
      <c r="F19" s="4" t="s">
        <v>108</v>
      </c>
      <c r="G19" s="356" t="s">
        <v>142</v>
      </c>
      <c r="H19" s="356" t="s">
        <v>98</v>
      </c>
      <c r="I19" s="356" t="s">
        <v>46</v>
      </c>
      <c r="J19" s="356" t="s">
        <v>99</v>
      </c>
      <c r="K19" s="357">
        <v>45748</v>
      </c>
      <c r="L19" s="356" t="s">
        <v>173</v>
      </c>
      <c r="M19" s="356"/>
      <c r="N19" s="356"/>
      <c r="O19" s="356" t="s">
        <v>73</v>
      </c>
      <c r="P19" s="356"/>
      <c r="Q19" s="356"/>
      <c r="R19" s="356"/>
      <c r="S19" s="82" t="s">
        <v>105</v>
      </c>
      <c r="T19" s="4"/>
      <c r="U19" s="93"/>
      <c r="V19" s="4"/>
      <c r="W19" s="4"/>
      <c r="X19" s="4"/>
      <c r="Y19" s="4"/>
      <c r="Z19" s="4"/>
      <c r="AA19" s="4"/>
      <c r="AB19" s="4"/>
      <c r="AC19" s="4"/>
      <c r="AD19" s="4"/>
      <c r="AE19" s="41"/>
    </row>
    <row r="20" spans="2:31" ht="120" x14ac:dyDescent="0.2">
      <c r="B20" s="442" t="s">
        <v>174</v>
      </c>
      <c r="C20" s="355" t="s">
        <v>175</v>
      </c>
      <c r="D20" s="356" t="s">
        <v>139</v>
      </c>
      <c r="E20" s="95" t="s">
        <v>176</v>
      </c>
      <c r="F20" s="4" t="s">
        <v>177</v>
      </c>
      <c r="G20" s="356" t="s">
        <v>142</v>
      </c>
      <c r="H20" s="356" t="s">
        <v>98</v>
      </c>
      <c r="I20" s="356" t="s">
        <v>46</v>
      </c>
      <c r="J20" s="356" t="s">
        <v>99</v>
      </c>
      <c r="K20" s="357">
        <v>45748</v>
      </c>
      <c r="L20" s="356" t="s">
        <v>178</v>
      </c>
      <c r="M20" s="356"/>
      <c r="N20" s="356"/>
      <c r="O20" s="356" t="s">
        <v>73</v>
      </c>
      <c r="P20" s="356"/>
      <c r="Q20" s="356"/>
      <c r="R20" s="356"/>
      <c r="S20" s="358" t="s">
        <v>145</v>
      </c>
      <c r="T20" s="4" t="s">
        <v>55</v>
      </c>
      <c r="U20" s="93"/>
      <c r="V20" s="4"/>
      <c r="W20" s="4" t="s">
        <v>179</v>
      </c>
      <c r="X20" s="4"/>
      <c r="Y20" s="4"/>
      <c r="Z20" s="4"/>
      <c r="AA20" s="4"/>
      <c r="AB20" s="4"/>
      <c r="AC20" s="4"/>
      <c r="AD20" s="4"/>
      <c r="AE20" s="41"/>
    </row>
    <row r="21" spans="2:31" ht="105" x14ac:dyDescent="0.2">
      <c r="B21" s="442" t="s">
        <v>180</v>
      </c>
      <c r="C21" s="355" t="s">
        <v>181</v>
      </c>
      <c r="D21" s="356" t="s">
        <v>139</v>
      </c>
      <c r="E21" s="95" t="s">
        <v>182</v>
      </c>
      <c r="F21" s="4" t="s">
        <v>108</v>
      </c>
      <c r="G21" s="356" t="s">
        <v>142</v>
      </c>
      <c r="H21" s="356" t="s">
        <v>98</v>
      </c>
      <c r="I21" s="356" t="s">
        <v>46</v>
      </c>
      <c r="J21" s="356" t="s">
        <v>99</v>
      </c>
      <c r="K21" s="357">
        <v>45748</v>
      </c>
      <c r="L21" s="356" t="s">
        <v>183</v>
      </c>
      <c r="M21" s="356"/>
      <c r="N21" s="356"/>
      <c r="O21" s="356" t="s">
        <v>73</v>
      </c>
      <c r="P21" s="356"/>
      <c r="Q21" s="356"/>
      <c r="R21" s="356"/>
      <c r="S21" s="82" t="s">
        <v>105</v>
      </c>
      <c r="T21" s="4"/>
      <c r="U21" s="93"/>
      <c r="V21" s="4"/>
      <c r="W21" s="4"/>
      <c r="X21" s="4"/>
      <c r="Y21" s="4"/>
      <c r="Z21" s="4"/>
      <c r="AA21" s="4"/>
      <c r="AB21" s="4"/>
      <c r="AC21" s="4"/>
      <c r="AD21" s="4"/>
      <c r="AE21" s="41"/>
    </row>
    <row r="22" spans="2:31" ht="105" x14ac:dyDescent="0.2">
      <c r="B22" s="442" t="s">
        <v>184</v>
      </c>
      <c r="C22" s="355" t="s">
        <v>185</v>
      </c>
      <c r="D22" s="356" t="s">
        <v>139</v>
      </c>
      <c r="E22" s="95" t="s">
        <v>186</v>
      </c>
      <c r="F22" s="4" t="s">
        <v>108</v>
      </c>
      <c r="G22" s="356" t="s">
        <v>142</v>
      </c>
      <c r="H22" s="356" t="s">
        <v>98</v>
      </c>
      <c r="I22" s="356" t="s">
        <v>46</v>
      </c>
      <c r="J22" s="356" t="s">
        <v>99</v>
      </c>
      <c r="K22" s="357">
        <v>45748</v>
      </c>
      <c r="L22" s="356" t="s">
        <v>187</v>
      </c>
      <c r="M22" s="356"/>
      <c r="N22" s="356"/>
      <c r="O22" s="356" t="s">
        <v>73</v>
      </c>
      <c r="P22" s="356"/>
      <c r="Q22" s="356"/>
      <c r="R22" s="356"/>
      <c r="S22" s="82" t="s">
        <v>105</v>
      </c>
      <c r="T22" s="4"/>
      <c r="U22" s="93"/>
      <c r="V22" s="4"/>
      <c r="W22" s="4"/>
      <c r="X22" s="4"/>
      <c r="Y22" s="4"/>
      <c r="Z22" s="4"/>
      <c r="AA22" s="4"/>
      <c r="AB22" s="4"/>
      <c r="AC22" s="4"/>
      <c r="AD22" s="4"/>
      <c r="AE22" s="41"/>
    </row>
    <row r="23" spans="2:31" ht="240" x14ac:dyDescent="0.2">
      <c r="B23" s="164" t="s">
        <v>188</v>
      </c>
      <c r="C23" s="165" t="s">
        <v>189</v>
      </c>
      <c r="D23" s="82" t="s">
        <v>190</v>
      </c>
      <c r="E23" s="4" t="s">
        <v>191</v>
      </c>
      <c r="F23" s="4" t="s">
        <v>192</v>
      </c>
      <c r="G23" s="82" t="s">
        <v>97</v>
      </c>
      <c r="H23" s="4" t="s">
        <v>98</v>
      </c>
      <c r="I23" s="82" t="s">
        <v>46</v>
      </c>
      <c r="J23" s="4" t="s">
        <v>47</v>
      </c>
      <c r="K23" s="170">
        <v>45748</v>
      </c>
      <c r="L23" s="166" t="s">
        <v>193</v>
      </c>
      <c r="M23" s="4" t="s">
        <v>194</v>
      </c>
      <c r="N23" s="4" t="s">
        <v>195</v>
      </c>
      <c r="O23" s="82" t="s">
        <v>196</v>
      </c>
      <c r="P23" s="4"/>
      <c r="Q23" s="4" t="s">
        <v>123</v>
      </c>
      <c r="R23" s="4" t="s">
        <v>197</v>
      </c>
      <c r="S23" s="358" t="s">
        <v>145</v>
      </c>
      <c r="T23" s="3" t="s">
        <v>55</v>
      </c>
      <c r="U23" s="93"/>
      <c r="V23" s="4"/>
      <c r="W23" s="4" t="s">
        <v>198</v>
      </c>
      <c r="X23" s="4" t="s">
        <v>199</v>
      </c>
      <c r="Y23" s="82" t="s">
        <v>200</v>
      </c>
      <c r="Z23" s="82" t="s">
        <v>201</v>
      </c>
      <c r="AA23" s="94" t="s">
        <v>202</v>
      </c>
      <c r="AB23" s="4" t="s">
        <v>202</v>
      </c>
      <c r="AC23" s="4"/>
      <c r="AD23" s="33"/>
      <c r="AE23" s="41" t="s">
        <v>61</v>
      </c>
    </row>
    <row r="24" spans="2:31" ht="195" x14ac:dyDescent="0.2">
      <c r="B24" s="164" t="s">
        <v>188</v>
      </c>
      <c r="C24" s="165" t="s">
        <v>203</v>
      </c>
      <c r="D24" s="82" t="s">
        <v>190</v>
      </c>
      <c r="E24" s="125" t="s">
        <v>204</v>
      </c>
      <c r="F24" s="4" t="s">
        <v>205</v>
      </c>
      <c r="G24" s="82" t="s">
        <v>97</v>
      </c>
      <c r="H24" s="4" t="s">
        <v>98</v>
      </c>
      <c r="I24" s="82" t="s">
        <v>46</v>
      </c>
      <c r="J24" s="4" t="s">
        <v>47</v>
      </c>
      <c r="K24" s="170">
        <v>45748</v>
      </c>
      <c r="L24" s="166" t="s">
        <v>193</v>
      </c>
      <c r="M24" s="4" t="s">
        <v>194</v>
      </c>
      <c r="N24" s="4" t="s">
        <v>195</v>
      </c>
      <c r="O24" s="82" t="s">
        <v>196</v>
      </c>
      <c r="P24" s="4"/>
      <c r="Q24" s="4" t="s">
        <v>123</v>
      </c>
      <c r="R24" s="4" t="s">
        <v>197</v>
      </c>
      <c r="S24" s="82" t="s">
        <v>145</v>
      </c>
      <c r="T24" s="3" t="s">
        <v>55</v>
      </c>
      <c r="U24" s="93"/>
      <c r="V24" s="4"/>
      <c r="W24" s="3" t="s">
        <v>206</v>
      </c>
      <c r="X24" s="4" t="s">
        <v>199</v>
      </c>
      <c r="Y24" s="82" t="s">
        <v>200</v>
      </c>
      <c r="Z24" s="82" t="s">
        <v>207</v>
      </c>
      <c r="AA24" s="94" t="s">
        <v>202</v>
      </c>
      <c r="AB24" s="4" t="s">
        <v>202</v>
      </c>
      <c r="AC24" s="4"/>
      <c r="AD24" s="33"/>
      <c r="AE24" s="41" t="s">
        <v>61</v>
      </c>
    </row>
    <row r="25" spans="2:31" ht="105" x14ac:dyDescent="0.2">
      <c r="B25" s="164" t="s">
        <v>208</v>
      </c>
      <c r="C25" s="165" t="s">
        <v>209</v>
      </c>
      <c r="D25" s="82" t="s">
        <v>139</v>
      </c>
      <c r="E25" s="125" t="s">
        <v>210</v>
      </c>
      <c r="F25" s="4" t="s">
        <v>211</v>
      </c>
      <c r="G25" s="82" t="s">
        <v>97</v>
      </c>
      <c r="H25" s="4" t="s">
        <v>98</v>
      </c>
      <c r="I25" s="82" t="s">
        <v>46</v>
      </c>
      <c r="J25" s="4" t="s">
        <v>99</v>
      </c>
      <c r="K25" s="170">
        <v>45748</v>
      </c>
      <c r="L25" s="166" t="s">
        <v>210</v>
      </c>
      <c r="M25" s="4"/>
      <c r="N25" s="4"/>
      <c r="O25" s="356" t="s">
        <v>73</v>
      </c>
      <c r="P25" s="356"/>
      <c r="Q25" s="356"/>
      <c r="R25" s="356"/>
      <c r="S25" s="358" t="s">
        <v>145</v>
      </c>
      <c r="T25" s="3" t="s">
        <v>55</v>
      </c>
      <c r="U25" s="93"/>
      <c r="V25" s="4"/>
      <c r="W25" s="3" t="s">
        <v>212</v>
      </c>
      <c r="X25" s="4"/>
      <c r="Y25" s="82"/>
      <c r="Z25" s="82"/>
      <c r="AA25" s="94"/>
      <c r="AB25" s="4"/>
      <c r="AC25" s="4"/>
      <c r="AD25" s="33"/>
      <c r="AE25" s="41"/>
    </row>
    <row r="26" spans="2:31" ht="180" x14ac:dyDescent="0.2">
      <c r="B26" s="164" t="s">
        <v>213</v>
      </c>
      <c r="C26" s="165" t="s">
        <v>214</v>
      </c>
      <c r="D26" s="82" t="s">
        <v>139</v>
      </c>
      <c r="E26" s="125" t="s">
        <v>215</v>
      </c>
      <c r="F26" s="4" t="s">
        <v>216</v>
      </c>
      <c r="G26" s="82" t="s">
        <v>97</v>
      </c>
      <c r="H26" s="4" t="s">
        <v>98</v>
      </c>
      <c r="I26" s="82" t="s">
        <v>46</v>
      </c>
      <c r="J26" s="4" t="s">
        <v>99</v>
      </c>
      <c r="K26" s="170">
        <v>45748</v>
      </c>
      <c r="L26" s="166" t="s">
        <v>217</v>
      </c>
      <c r="M26" s="4"/>
      <c r="N26" s="4"/>
      <c r="O26" s="4" t="s">
        <v>73</v>
      </c>
      <c r="P26" s="4"/>
      <c r="Q26" s="4"/>
      <c r="R26" s="4"/>
      <c r="S26" s="82" t="s">
        <v>55</v>
      </c>
      <c r="T26" s="4" t="s">
        <v>55</v>
      </c>
      <c r="U26" s="93"/>
      <c r="V26" s="4"/>
      <c r="W26" s="4" t="s">
        <v>218</v>
      </c>
      <c r="X26" s="4"/>
      <c r="Y26" s="82" t="s">
        <v>147</v>
      </c>
      <c r="Z26" s="82" t="s">
        <v>219</v>
      </c>
      <c r="AA26" s="94"/>
      <c r="AB26" s="4"/>
      <c r="AC26" s="4"/>
      <c r="AD26" s="33"/>
      <c r="AE26" s="41"/>
    </row>
    <row r="27" spans="2:31" ht="409.5" x14ac:dyDescent="0.2">
      <c r="B27" s="164" t="s">
        <v>220</v>
      </c>
      <c r="C27" s="165" t="s">
        <v>221</v>
      </c>
      <c r="D27" s="4" t="s">
        <v>139</v>
      </c>
      <c r="E27" s="34" t="s">
        <v>222</v>
      </c>
      <c r="F27" s="4" t="s">
        <v>152</v>
      </c>
      <c r="G27" s="4"/>
      <c r="H27" s="4" t="s">
        <v>98</v>
      </c>
      <c r="I27" s="4" t="s">
        <v>46</v>
      </c>
      <c r="J27" s="4" t="s">
        <v>47</v>
      </c>
      <c r="K27" s="170">
        <v>45748</v>
      </c>
      <c r="L27" s="441" t="s">
        <v>223</v>
      </c>
      <c r="M27" s="4" t="s">
        <v>224</v>
      </c>
      <c r="N27" s="4"/>
      <c r="O27" s="4" t="s">
        <v>73</v>
      </c>
      <c r="P27" s="4"/>
      <c r="Q27" s="4"/>
      <c r="R27" s="4"/>
      <c r="S27" s="82" t="s">
        <v>154</v>
      </c>
      <c r="T27" s="4"/>
      <c r="U27" s="93"/>
      <c r="V27" s="4"/>
      <c r="W27" s="4"/>
      <c r="X27" s="4" t="s">
        <v>225</v>
      </c>
      <c r="Y27" s="4" t="s">
        <v>147</v>
      </c>
      <c r="Z27" s="4" t="s">
        <v>226</v>
      </c>
      <c r="AA27" s="4"/>
      <c r="AB27" s="4"/>
      <c r="AC27" s="4"/>
      <c r="AD27" s="4"/>
      <c r="AE27" s="41" t="s">
        <v>61</v>
      </c>
    </row>
    <row r="28" spans="2:31" ht="135" x14ac:dyDescent="0.2">
      <c r="B28" s="164" t="s">
        <v>227</v>
      </c>
      <c r="C28" s="165" t="s">
        <v>228</v>
      </c>
      <c r="D28" s="4" t="s">
        <v>229</v>
      </c>
      <c r="E28" s="95" t="s">
        <v>230</v>
      </c>
      <c r="F28" s="4" t="s">
        <v>231</v>
      </c>
      <c r="G28" s="4" t="s">
        <v>97</v>
      </c>
      <c r="H28" s="4" t="s">
        <v>98</v>
      </c>
      <c r="I28" s="4" t="s">
        <v>46</v>
      </c>
      <c r="J28" s="4" t="s">
        <v>47</v>
      </c>
      <c r="K28" s="170">
        <v>45748</v>
      </c>
      <c r="L28" s="34" t="s">
        <v>232</v>
      </c>
      <c r="M28" s="4"/>
      <c r="N28" s="4"/>
      <c r="O28" s="4" t="s">
        <v>233</v>
      </c>
      <c r="P28" s="4"/>
      <c r="Q28" s="4"/>
      <c r="R28" s="4"/>
      <c r="S28" s="358" t="s">
        <v>145</v>
      </c>
      <c r="T28" s="4"/>
      <c r="U28" s="93"/>
      <c r="V28" s="4"/>
      <c r="W28" s="4"/>
      <c r="X28" s="4"/>
      <c r="Y28" s="4"/>
      <c r="Z28" s="4"/>
      <c r="AA28" s="4"/>
      <c r="AB28" s="4"/>
      <c r="AC28" s="4"/>
      <c r="AD28" s="4"/>
      <c r="AE28" s="41" t="s">
        <v>61</v>
      </c>
    </row>
    <row r="29" spans="2:31" ht="105" x14ac:dyDescent="0.2">
      <c r="B29" s="164" t="s">
        <v>234</v>
      </c>
      <c r="C29" s="165" t="s">
        <v>235</v>
      </c>
      <c r="D29" s="4" t="s">
        <v>229</v>
      </c>
      <c r="E29" s="95" t="s">
        <v>236</v>
      </c>
      <c r="F29" s="4" t="s">
        <v>237</v>
      </c>
      <c r="G29" s="4" t="s">
        <v>97</v>
      </c>
      <c r="H29" s="4" t="s">
        <v>98</v>
      </c>
      <c r="I29" s="4" t="s">
        <v>46</v>
      </c>
      <c r="J29" s="4" t="s">
        <v>99</v>
      </c>
      <c r="K29" s="170">
        <v>45748</v>
      </c>
      <c r="L29" s="34" t="s">
        <v>236</v>
      </c>
      <c r="M29" s="4"/>
      <c r="N29" s="4"/>
      <c r="O29" s="4" t="s">
        <v>238</v>
      </c>
      <c r="P29" s="4"/>
      <c r="Q29" s="4"/>
      <c r="R29" s="4"/>
      <c r="S29" s="82" t="s">
        <v>105</v>
      </c>
      <c r="T29" s="4"/>
      <c r="U29" s="93"/>
      <c r="V29" s="4"/>
      <c r="W29" s="4"/>
      <c r="X29" s="4"/>
      <c r="Y29" s="4"/>
      <c r="Z29" s="4"/>
      <c r="AA29" s="4"/>
      <c r="AB29" s="4"/>
      <c r="AC29" s="4"/>
      <c r="AD29" s="4"/>
      <c r="AE29" s="41"/>
    </row>
    <row r="30" spans="2:31" ht="124.5" customHeight="1" x14ac:dyDescent="0.2">
      <c r="B30" s="164" t="s">
        <v>239</v>
      </c>
      <c r="C30" s="165" t="s">
        <v>240</v>
      </c>
      <c r="D30" s="82" t="s">
        <v>190</v>
      </c>
      <c r="E30" s="125" t="s">
        <v>241</v>
      </c>
      <c r="F30" s="4" t="s">
        <v>242</v>
      </c>
      <c r="G30" s="82" t="s">
        <v>44</v>
      </c>
      <c r="H30" s="4" t="s">
        <v>243</v>
      </c>
      <c r="I30" s="82" t="s">
        <v>46</v>
      </c>
      <c r="J30" s="4" t="s">
        <v>47</v>
      </c>
      <c r="K30" s="170">
        <v>45748</v>
      </c>
      <c r="L30" s="166" t="s">
        <v>244</v>
      </c>
      <c r="M30" s="4" t="s">
        <v>245</v>
      </c>
      <c r="N30" s="4" t="s">
        <v>246</v>
      </c>
      <c r="O30" s="82" t="s">
        <v>247</v>
      </c>
      <c r="P30" s="4"/>
      <c r="Q30" s="4" t="s">
        <v>123</v>
      </c>
      <c r="R30" s="4"/>
      <c r="S30" s="82" t="s">
        <v>88</v>
      </c>
      <c r="T30" s="4"/>
      <c r="U30" s="93"/>
      <c r="V30" s="4"/>
      <c r="W30" s="4"/>
      <c r="X30" s="4" t="s">
        <v>248</v>
      </c>
      <c r="Y30" s="82" t="s">
        <v>109</v>
      </c>
      <c r="Z30" s="82" t="s">
        <v>249</v>
      </c>
      <c r="AA30" s="4" t="s">
        <v>250</v>
      </c>
      <c r="AB30" s="4" t="s">
        <v>251</v>
      </c>
      <c r="AC30" s="4" t="s">
        <v>252</v>
      </c>
      <c r="AD30" s="4"/>
      <c r="AE30" s="41" t="s">
        <v>61</v>
      </c>
    </row>
    <row r="31" spans="2:31" ht="124.5" customHeight="1" x14ac:dyDescent="0.2">
      <c r="B31" s="105" t="s">
        <v>253</v>
      </c>
      <c r="C31" s="348" t="s">
        <v>254</v>
      </c>
      <c r="D31" s="349" t="s">
        <v>255</v>
      </c>
      <c r="E31" s="350" t="s">
        <v>256</v>
      </c>
      <c r="F31" s="386" t="s">
        <v>257</v>
      </c>
      <c r="G31" s="349" t="s">
        <v>258</v>
      </c>
      <c r="H31" s="351" t="s">
        <v>259</v>
      </c>
      <c r="I31" s="351" t="s">
        <v>260</v>
      </c>
      <c r="J31" s="351" t="s">
        <v>99</v>
      </c>
      <c r="K31" s="353">
        <v>45754</v>
      </c>
      <c r="L31" s="352" t="s">
        <v>261</v>
      </c>
      <c r="M31" s="351" t="s">
        <v>262</v>
      </c>
      <c r="N31" s="351" t="s">
        <v>263</v>
      </c>
      <c r="O31" s="349" t="s">
        <v>73</v>
      </c>
      <c r="P31" s="351"/>
      <c r="Q31" s="351" t="s">
        <v>73</v>
      </c>
      <c r="R31" s="351" t="s">
        <v>197</v>
      </c>
      <c r="S31" s="301" t="s">
        <v>55</v>
      </c>
      <c r="T31" s="351" t="s">
        <v>55</v>
      </c>
      <c r="U31" s="351"/>
      <c r="V31" s="351"/>
      <c r="W31" s="351"/>
      <c r="X31" s="351" t="s">
        <v>264</v>
      </c>
      <c r="Y31" s="349" t="s">
        <v>265</v>
      </c>
      <c r="Z31" s="349" t="s">
        <v>266</v>
      </c>
      <c r="AA31" s="349"/>
      <c r="AB31" s="351"/>
      <c r="AC31" s="351"/>
      <c r="AD31" s="351"/>
      <c r="AE31" s="41" t="s">
        <v>61</v>
      </c>
    </row>
    <row r="32" spans="2:31" ht="180" x14ac:dyDescent="0.2">
      <c r="B32" s="164" t="s">
        <v>267</v>
      </c>
      <c r="C32" s="165" t="s">
        <v>268</v>
      </c>
      <c r="D32" s="82" t="s">
        <v>255</v>
      </c>
      <c r="E32" s="125" t="s">
        <v>269</v>
      </c>
      <c r="F32" s="4" t="s">
        <v>270</v>
      </c>
      <c r="G32" s="82" t="s">
        <v>271</v>
      </c>
      <c r="H32" s="4" t="s">
        <v>272</v>
      </c>
      <c r="I32" s="82" t="s">
        <v>46</v>
      </c>
      <c r="J32" s="4" t="s">
        <v>47</v>
      </c>
      <c r="K32" s="170">
        <v>45800</v>
      </c>
      <c r="L32" s="125" t="s">
        <v>273</v>
      </c>
      <c r="M32" s="95" t="s">
        <v>274</v>
      </c>
      <c r="N32" s="4" t="s">
        <v>275</v>
      </c>
      <c r="O32" s="82" t="s">
        <v>276</v>
      </c>
      <c r="P32" s="4"/>
      <c r="Q32" s="4" t="s">
        <v>123</v>
      </c>
      <c r="R32" s="4"/>
      <c r="S32" s="82" t="s">
        <v>55</v>
      </c>
      <c r="T32" s="4" t="s">
        <v>55</v>
      </c>
      <c r="U32" s="93"/>
      <c r="V32" s="4"/>
      <c r="W32" s="4" t="s">
        <v>277</v>
      </c>
      <c r="X32" s="4" t="s">
        <v>278</v>
      </c>
      <c r="Y32" s="82" t="s">
        <v>58</v>
      </c>
      <c r="Z32" s="168" t="s">
        <v>279</v>
      </c>
      <c r="AA32" s="94" t="s">
        <v>202</v>
      </c>
      <c r="AB32" s="4" t="s">
        <v>202</v>
      </c>
      <c r="AC32" s="4"/>
      <c r="AD32" s="33"/>
      <c r="AE32" s="41" t="s">
        <v>61</v>
      </c>
    </row>
    <row r="33" spans="2:31" ht="225" x14ac:dyDescent="0.2">
      <c r="B33" s="164" t="s">
        <v>280</v>
      </c>
      <c r="C33" s="165" t="s">
        <v>281</v>
      </c>
      <c r="D33" s="82" t="s">
        <v>282</v>
      </c>
      <c r="E33" s="125" t="s">
        <v>283</v>
      </c>
      <c r="F33" s="4" t="s">
        <v>284</v>
      </c>
      <c r="G33" s="82" t="s">
        <v>82</v>
      </c>
      <c r="H33" s="4" t="s">
        <v>285</v>
      </c>
      <c r="I33" s="82" t="s">
        <v>46</v>
      </c>
      <c r="J33" s="4" t="s">
        <v>47</v>
      </c>
      <c r="K33" s="170">
        <v>45800</v>
      </c>
      <c r="L33" s="125" t="s">
        <v>286</v>
      </c>
      <c r="M33" s="95" t="s">
        <v>287</v>
      </c>
      <c r="N33" s="4" t="s">
        <v>288</v>
      </c>
      <c r="O33" s="82" t="s">
        <v>289</v>
      </c>
      <c r="P33" s="4"/>
      <c r="Q33" s="4" t="s">
        <v>73</v>
      </c>
      <c r="R33" s="4"/>
      <c r="S33" s="82" t="s">
        <v>105</v>
      </c>
      <c r="T33" s="4"/>
      <c r="U33" s="93"/>
      <c r="V33" s="4"/>
      <c r="W33" s="4"/>
      <c r="X33" s="4" t="s">
        <v>290</v>
      </c>
      <c r="Y33" s="168" t="s">
        <v>109</v>
      </c>
      <c r="Z33" s="168" t="s">
        <v>291</v>
      </c>
      <c r="AA33" s="94" t="s">
        <v>202</v>
      </c>
      <c r="AB33" s="4" t="s">
        <v>202</v>
      </c>
      <c r="AC33" s="4"/>
      <c r="AD33" s="33"/>
      <c r="AE33" s="41" t="s">
        <v>61</v>
      </c>
    </row>
    <row r="34" spans="2:31" ht="180" x14ac:dyDescent="0.2">
      <c r="B34" s="164" t="s">
        <v>292</v>
      </c>
      <c r="C34" s="165" t="s">
        <v>293</v>
      </c>
      <c r="D34" s="82" t="s">
        <v>294</v>
      </c>
      <c r="E34" s="95" t="s">
        <v>295</v>
      </c>
      <c r="F34" s="4" t="s">
        <v>296</v>
      </c>
      <c r="G34" s="4" t="s">
        <v>82</v>
      </c>
      <c r="H34" s="4" t="s">
        <v>161</v>
      </c>
      <c r="I34" s="4" t="s">
        <v>297</v>
      </c>
      <c r="J34" s="4" t="s">
        <v>298</v>
      </c>
      <c r="K34" s="170">
        <v>45817</v>
      </c>
      <c r="L34" s="95" t="s">
        <v>299</v>
      </c>
      <c r="M34" s="95" t="s">
        <v>300</v>
      </c>
      <c r="N34" s="4" t="s">
        <v>301</v>
      </c>
      <c r="O34" s="4" t="s">
        <v>135</v>
      </c>
      <c r="P34" s="4"/>
      <c r="Q34" s="4"/>
      <c r="R34" s="4"/>
      <c r="S34" s="84" t="s">
        <v>302</v>
      </c>
      <c r="T34" s="4"/>
      <c r="U34" s="93"/>
      <c r="V34" s="4"/>
      <c r="W34" s="4"/>
      <c r="X34" s="4" t="s">
        <v>303</v>
      </c>
      <c r="Y34" s="4" t="s">
        <v>109</v>
      </c>
      <c r="Z34" s="169" t="s">
        <v>304</v>
      </c>
      <c r="AA34" s="4"/>
      <c r="AB34" s="4"/>
      <c r="AC34" s="4"/>
      <c r="AD34" s="33"/>
      <c r="AE34" s="41" t="s">
        <v>61</v>
      </c>
    </row>
    <row r="35" spans="2:31" ht="405" x14ac:dyDescent="0.2">
      <c r="B35" s="164" t="s">
        <v>305</v>
      </c>
      <c r="C35" s="165" t="s">
        <v>306</v>
      </c>
      <c r="D35" s="4" t="s">
        <v>307</v>
      </c>
      <c r="E35" s="95" t="s">
        <v>308</v>
      </c>
      <c r="F35" s="4" t="s">
        <v>309</v>
      </c>
      <c r="G35" s="4" t="s">
        <v>97</v>
      </c>
      <c r="H35" s="4" t="s">
        <v>161</v>
      </c>
      <c r="I35" s="82" t="s">
        <v>46</v>
      </c>
      <c r="J35" s="4" t="s">
        <v>47</v>
      </c>
      <c r="K35" s="170">
        <v>45831</v>
      </c>
      <c r="L35" s="95" t="s">
        <v>310</v>
      </c>
      <c r="M35" s="4" t="s">
        <v>311</v>
      </c>
      <c r="N35" s="4" t="s">
        <v>312</v>
      </c>
      <c r="O35" s="4" t="s">
        <v>313</v>
      </c>
      <c r="P35" s="4"/>
      <c r="Q35" s="4" t="s">
        <v>73</v>
      </c>
      <c r="R35" s="4" t="s">
        <v>314</v>
      </c>
      <c r="S35" s="82" t="s">
        <v>315</v>
      </c>
      <c r="T35" s="4"/>
      <c r="U35" s="93"/>
      <c r="V35" s="4"/>
      <c r="W35" s="4"/>
      <c r="X35" s="4" t="s">
        <v>316</v>
      </c>
      <c r="Y35" s="4" t="s">
        <v>58</v>
      </c>
      <c r="Z35" s="168" t="s">
        <v>317</v>
      </c>
      <c r="AA35" s="4"/>
      <c r="AB35" s="4"/>
      <c r="AC35" s="4"/>
      <c r="AD35" s="33"/>
      <c r="AE35" s="41" t="s">
        <v>61</v>
      </c>
    </row>
    <row r="36" spans="2:31" ht="405" x14ac:dyDescent="0.2">
      <c r="B36" s="164" t="s">
        <v>305</v>
      </c>
      <c r="C36" s="165" t="s">
        <v>318</v>
      </c>
      <c r="D36" s="4" t="s">
        <v>307</v>
      </c>
      <c r="E36" s="95" t="s">
        <v>308</v>
      </c>
      <c r="F36" s="4" t="s">
        <v>319</v>
      </c>
      <c r="G36" s="4" t="s">
        <v>97</v>
      </c>
      <c r="H36" s="4" t="s">
        <v>161</v>
      </c>
      <c r="I36" s="82" t="s">
        <v>46</v>
      </c>
      <c r="J36" s="4" t="s">
        <v>47</v>
      </c>
      <c r="K36" s="170">
        <v>45831</v>
      </c>
      <c r="L36" s="95" t="s">
        <v>320</v>
      </c>
      <c r="M36" s="4" t="s">
        <v>321</v>
      </c>
      <c r="N36" s="4" t="s">
        <v>312</v>
      </c>
      <c r="O36" s="4" t="s">
        <v>313</v>
      </c>
      <c r="P36" s="4"/>
      <c r="Q36" s="4" t="s">
        <v>73</v>
      </c>
      <c r="R36" s="4" t="s">
        <v>314</v>
      </c>
      <c r="S36" s="82" t="s">
        <v>315</v>
      </c>
      <c r="T36" s="4"/>
      <c r="U36" s="93"/>
      <c r="V36" s="4"/>
      <c r="W36" s="4"/>
      <c r="X36" s="4" t="s">
        <v>316</v>
      </c>
      <c r="Y36" s="4" t="s">
        <v>109</v>
      </c>
      <c r="Z36" s="168" t="s">
        <v>322</v>
      </c>
      <c r="AA36" s="4"/>
      <c r="AB36" s="4"/>
      <c r="AC36" s="4"/>
      <c r="AD36" s="33"/>
      <c r="AE36" s="41" t="s">
        <v>61</v>
      </c>
    </row>
    <row r="37" spans="2:31" ht="120" x14ac:dyDescent="0.2">
      <c r="B37" s="164" t="s">
        <v>323</v>
      </c>
      <c r="C37" s="165" t="s">
        <v>324</v>
      </c>
      <c r="D37" s="82" t="s">
        <v>325</v>
      </c>
      <c r="E37" s="125" t="s">
        <v>326</v>
      </c>
      <c r="F37" s="4" t="s">
        <v>327</v>
      </c>
      <c r="G37" s="82" t="s">
        <v>44</v>
      </c>
      <c r="H37" s="4" t="s">
        <v>285</v>
      </c>
      <c r="I37" s="82" t="s">
        <v>260</v>
      </c>
      <c r="J37" s="4" t="s">
        <v>47</v>
      </c>
      <c r="K37" s="170">
        <v>45838</v>
      </c>
      <c r="L37" s="166" t="s">
        <v>328</v>
      </c>
      <c r="M37" s="4" t="s">
        <v>329</v>
      </c>
      <c r="N37" s="4" t="s">
        <v>330</v>
      </c>
      <c r="O37" s="82" t="s">
        <v>233</v>
      </c>
      <c r="P37" s="4"/>
      <c r="Q37" s="4" t="s">
        <v>73</v>
      </c>
      <c r="R37" s="4"/>
      <c r="S37" s="82" t="s">
        <v>55</v>
      </c>
      <c r="T37" s="4" t="s">
        <v>55</v>
      </c>
      <c r="U37" s="93"/>
      <c r="V37" s="4"/>
      <c r="W37" s="4" t="s">
        <v>331</v>
      </c>
      <c r="X37" s="95" t="s">
        <v>90</v>
      </c>
      <c r="Y37" s="82" t="s">
        <v>109</v>
      </c>
      <c r="Z37" s="82" t="s">
        <v>332</v>
      </c>
      <c r="AA37" s="4"/>
      <c r="AB37" s="4"/>
      <c r="AC37" s="4"/>
      <c r="AD37" s="33"/>
      <c r="AE37" s="41" t="s">
        <v>61</v>
      </c>
    </row>
    <row r="38" spans="2:31" ht="120" x14ac:dyDescent="0.2">
      <c r="B38" s="164" t="s">
        <v>323</v>
      </c>
      <c r="C38" s="165" t="s">
        <v>333</v>
      </c>
      <c r="D38" s="82" t="s">
        <v>325</v>
      </c>
      <c r="E38" s="125" t="s">
        <v>326</v>
      </c>
      <c r="F38" s="4" t="s">
        <v>327</v>
      </c>
      <c r="G38" s="82" t="s">
        <v>44</v>
      </c>
      <c r="H38" s="4" t="s">
        <v>285</v>
      </c>
      <c r="I38" s="82" t="s">
        <v>260</v>
      </c>
      <c r="J38" s="4" t="s">
        <v>47</v>
      </c>
      <c r="K38" s="170">
        <v>45838</v>
      </c>
      <c r="L38" s="166" t="s">
        <v>328</v>
      </c>
      <c r="M38" s="4" t="s">
        <v>329</v>
      </c>
      <c r="N38" s="4" t="s">
        <v>330</v>
      </c>
      <c r="O38" s="82" t="s">
        <v>233</v>
      </c>
      <c r="P38" s="4"/>
      <c r="Q38" s="4" t="s">
        <v>73</v>
      </c>
      <c r="R38" s="4"/>
      <c r="S38" s="82" t="s">
        <v>55</v>
      </c>
      <c r="T38" s="4" t="s">
        <v>55</v>
      </c>
      <c r="U38" s="93"/>
      <c r="V38" s="4"/>
      <c r="W38" s="4" t="s">
        <v>331</v>
      </c>
      <c r="X38" s="95" t="s">
        <v>90</v>
      </c>
      <c r="Y38" s="82" t="s">
        <v>58</v>
      </c>
      <c r="Z38" s="82" t="s">
        <v>334</v>
      </c>
      <c r="AA38" s="4"/>
      <c r="AB38" s="4"/>
      <c r="AC38" s="4"/>
      <c r="AD38" s="33"/>
      <c r="AE38" s="41" t="s">
        <v>61</v>
      </c>
    </row>
    <row r="39" spans="2:31" ht="270.75" customHeight="1" x14ac:dyDescent="0.2">
      <c r="B39" s="167" t="s">
        <v>335</v>
      </c>
      <c r="C39" s="165" t="s">
        <v>336</v>
      </c>
      <c r="D39" s="387" t="s">
        <v>64</v>
      </c>
      <c r="E39" s="4" t="s">
        <v>337</v>
      </c>
      <c r="F39" s="4" t="s">
        <v>338</v>
      </c>
      <c r="G39" s="4" t="s">
        <v>82</v>
      </c>
      <c r="H39" s="4" t="s">
        <v>161</v>
      </c>
      <c r="I39" s="4" t="s">
        <v>162</v>
      </c>
      <c r="J39" s="33" t="s">
        <v>339</v>
      </c>
      <c r="K39" s="170">
        <v>45986</v>
      </c>
      <c r="L39" s="4" t="s">
        <v>340</v>
      </c>
      <c r="M39" s="4" t="s">
        <v>341</v>
      </c>
      <c r="N39" s="4" t="s">
        <v>342</v>
      </c>
      <c r="O39" s="107" t="s">
        <v>51</v>
      </c>
      <c r="P39" s="4"/>
      <c r="Q39" s="4" t="s">
        <v>123</v>
      </c>
      <c r="R39" s="4"/>
      <c r="S39" s="107" t="s">
        <v>55</v>
      </c>
      <c r="T39" s="4" t="s">
        <v>55</v>
      </c>
      <c r="U39" s="93"/>
      <c r="V39" s="4"/>
      <c r="W39" s="4" t="s">
        <v>343</v>
      </c>
      <c r="X39" s="4" t="s">
        <v>344</v>
      </c>
      <c r="Y39" s="4" t="s">
        <v>58</v>
      </c>
      <c r="Z39" s="4" t="s">
        <v>345</v>
      </c>
      <c r="AA39" s="4"/>
      <c r="AB39" s="4"/>
      <c r="AC39" s="4"/>
      <c r="AD39" s="33"/>
      <c r="AE39" s="41" t="s">
        <v>61</v>
      </c>
    </row>
    <row r="40" spans="2:31" ht="210" customHeight="1" x14ac:dyDescent="0.2">
      <c r="B40" s="167" t="s">
        <v>346</v>
      </c>
      <c r="C40" s="165" t="s">
        <v>347</v>
      </c>
      <c r="D40" s="4" t="s">
        <v>348</v>
      </c>
      <c r="E40" s="4" t="s">
        <v>349</v>
      </c>
      <c r="F40" s="4" t="s">
        <v>350</v>
      </c>
      <c r="G40" s="4" t="s">
        <v>82</v>
      </c>
      <c r="H40" s="4" t="s">
        <v>161</v>
      </c>
      <c r="I40" s="4" t="s">
        <v>46</v>
      </c>
      <c r="J40" s="33" t="s">
        <v>351</v>
      </c>
      <c r="K40" s="170">
        <v>45986</v>
      </c>
      <c r="L40" s="4" t="s">
        <v>352</v>
      </c>
      <c r="M40" s="4" t="s">
        <v>353</v>
      </c>
      <c r="N40" s="4" t="s">
        <v>354</v>
      </c>
      <c r="O40" s="4" t="s">
        <v>135</v>
      </c>
      <c r="P40" s="4" t="s">
        <v>355</v>
      </c>
      <c r="Q40" s="4" t="s">
        <v>87</v>
      </c>
      <c r="R40" s="4"/>
      <c r="S40" s="84" t="s">
        <v>302</v>
      </c>
      <c r="T40" s="4"/>
      <c r="U40" s="93"/>
      <c r="V40" s="4"/>
      <c r="W40" s="4"/>
      <c r="X40" s="4" t="s">
        <v>356</v>
      </c>
      <c r="Y40" s="4" t="s">
        <v>147</v>
      </c>
      <c r="Z40" s="4" t="s">
        <v>357</v>
      </c>
      <c r="AA40" s="4"/>
      <c r="AB40" s="3" t="s">
        <v>358</v>
      </c>
      <c r="AC40" s="4"/>
      <c r="AD40" s="33"/>
      <c r="AE40" s="41" t="s">
        <v>61</v>
      </c>
    </row>
    <row r="41" spans="2:31" ht="281.25" customHeight="1" x14ac:dyDescent="0.2">
      <c r="B41" s="167" t="s">
        <v>359</v>
      </c>
      <c r="C41" s="165" t="s">
        <v>360</v>
      </c>
      <c r="D41" s="4" t="s">
        <v>64</v>
      </c>
      <c r="E41" s="4" t="s">
        <v>361</v>
      </c>
      <c r="F41" s="4" t="s">
        <v>362</v>
      </c>
      <c r="G41" s="4" t="s">
        <v>82</v>
      </c>
      <c r="H41" s="4" t="s">
        <v>285</v>
      </c>
      <c r="I41" s="4" t="s">
        <v>46</v>
      </c>
      <c r="J41" s="33" t="s">
        <v>351</v>
      </c>
      <c r="K41" s="170">
        <v>45986</v>
      </c>
      <c r="L41" s="4" t="s">
        <v>363</v>
      </c>
      <c r="M41" s="4" t="s">
        <v>364</v>
      </c>
      <c r="N41" s="4" t="s">
        <v>365</v>
      </c>
      <c r="O41" s="4" t="s">
        <v>366</v>
      </c>
      <c r="P41" s="4" t="s">
        <v>355</v>
      </c>
      <c r="Q41" s="4" t="s">
        <v>73</v>
      </c>
      <c r="R41" s="4"/>
      <c r="S41" s="397" t="s">
        <v>367</v>
      </c>
      <c r="T41" s="4" t="s">
        <v>89</v>
      </c>
      <c r="U41" s="93"/>
      <c r="V41" s="4"/>
      <c r="W41" s="4" t="s">
        <v>368</v>
      </c>
      <c r="X41" s="4" t="s">
        <v>369</v>
      </c>
      <c r="Y41" s="4" t="s">
        <v>58</v>
      </c>
      <c r="Z41" s="4" t="s">
        <v>370</v>
      </c>
      <c r="AA41" s="4"/>
      <c r="AB41" s="4"/>
      <c r="AC41" s="4"/>
      <c r="AD41" s="33"/>
      <c r="AE41" s="41"/>
    </row>
    <row r="42" spans="2:31" ht="409.4" customHeight="1" x14ac:dyDescent="0.2">
      <c r="B42" s="443" t="s">
        <v>371</v>
      </c>
      <c r="C42" s="165" t="s">
        <v>372</v>
      </c>
      <c r="D42" s="4" t="s">
        <v>373</v>
      </c>
      <c r="E42" s="4" t="s">
        <v>374</v>
      </c>
      <c r="F42" s="4" t="s">
        <v>375</v>
      </c>
      <c r="G42" s="4" t="s">
        <v>82</v>
      </c>
      <c r="H42" s="4" t="s">
        <v>285</v>
      </c>
      <c r="I42" s="4" t="s">
        <v>46</v>
      </c>
      <c r="J42" s="33" t="s">
        <v>351</v>
      </c>
      <c r="K42" s="170">
        <v>45986</v>
      </c>
      <c r="L42" s="4" t="s">
        <v>376</v>
      </c>
      <c r="M42" s="4" t="s">
        <v>377</v>
      </c>
      <c r="N42" s="4" t="s">
        <v>378</v>
      </c>
      <c r="O42" s="4" t="s">
        <v>135</v>
      </c>
      <c r="P42" s="4" t="s">
        <v>355</v>
      </c>
      <c r="Q42" s="4" t="s">
        <v>87</v>
      </c>
      <c r="R42" s="4"/>
      <c r="S42" s="84" t="s">
        <v>302</v>
      </c>
      <c r="T42" s="4"/>
      <c r="U42" s="93"/>
      <c r="V42" s="4"/>
      <c r="W42" s="4"/>
      <c r="X42" s="4" t="s">
        <v>379</v>
      </c>
      <c r="Y42" s="4" t="s">
        <v>109</v>
      </c>
      <c r="Z42" s="4" t="s">
        <v>380</v>
      </c>
      <c r="AA42" s="4"/>
      <c r="AB42" s="4"/>
      <c r="AC42" s="4"/>
      <c r="AD42" s="33"/>
      <c r="AE42" s="41"/>
    </row>
    <row r="43" spans="2:31" ht="206.5" customHeight="1" x14ac:dyDescent="0.2">
      <c r="B43" s="443" t="s">
        <v>381</v>
      </c>
      <c r="C43" s="165" t="s">
        <v>382</v>
      </c>
      <c r="D43" s="4" t="s">
        <v>373</v>
      </c>
      <c r="E43" s="4" t="s">
        <v>383</v>
      </c>
      <c r="F43" s="4" t="s">
        <v>384</v>
      </c>
      <c r="G43" s="4" t="s">
        <v>82</v>
      </c>
      <c r="H43" s="4" t="s">
        <v>285</v>
      </c>
      <c r="I43" s="4" t="s">
        <v>46</v>
      </c>
      <c r="J43" s="33" t="s">
        <v>351</v>
      </c>
      <c r="K43" s="170">
        <v>45986</v>
      </c>
      <c r="L43" s="4" t="s">
        <v>385</v>
      </c>
      <c r="M43" s="4" t="s">
        <v>386</v>
      </c>
      <c r="N43" s="4" t="s">
        <v>378</v>
      </c>
      <c r="O43" s="4" t="s">
        <v>135</v>
      </c>
      <c r="P43" s="4" t="s">
        <v>387</v>
      </c>
      <c r="Q43" s="4" t="s">
        <v>87</v>
      </c>
      <c r="R43" s="4"/>
      <c r="S43" s="84" t="s">
        <v>302</v>
      </c>
      <c r="T43" s="4"/>
      <c r="U43" s="93"/>
      <c r="V43" s="4"/>
      <c r="W43" s="4"/>
      <c r="X43" s="4" t="s">
        <v>379</v>
      </c>
      <c r="Y43" s="4" t="s">
        <v>109</v>
      </c>
      <c r="Z43" s="386" t="s">
        <v>388</v>
      </c>
      <c r="AA43" s="4"/>
      <c r="AB43" s="4"/>
      <c r="AC43" s="4"/>
      <c r="AD43" s="33"/>
      <c r="AE43" s="41"/>
    </row>
    <row r="44" spans="2:31" ht="312.75" customHeight="1" x14ac:dyDescent="0.2">
      <c r="B44" s="167" t="s">
        <v>389</v>
      </c>
      <c r="C44" s="167" t="s">
        <v>390</v>
      </c>
      <c r="D44" s="4" t="s">
        <v>391</v>
      </c>
      <c r="E44" s="4" t="s">
        <v>392</v>
      </c>
      <c r="F44" s="4" t="s">
        <v>393</v>
      </c>
      <c r="G44" s="4" t="s">
        <v>82</v>
      </c>
      <c r="H44" s="4" t="s">
        <v>285</v>
      </c>
      <c r="I44" s="4" t="s">
        <v>46</v>
      </c>
      <c r="J44" s="33" t="s">
        <v>351</v>
      </c>
      <c r="K44" s="170">
        <v>45986</v>
      </c>
      <c r="L44" s="4" t="s">
        <v>394</v>
      </c>
      <c r="M44" s="4" t="s">
        <v>395</v>
      </c>
      <c r="N44" s="4" t="s">
        <v>396</v>
      </c>
      <c r="O44" s="4" t="s">
        <v>397</v>
      </c>
      <c r="P44" s="4" t="s">
        <v>387</v>
      </c>
      <c r="Q44" s="4" t="s">
        <v>123</v>
      </c>
      <c r="R44" s="4"/>
      <c r="S44" s="84" t="s">
        <v>302</v>
      </c>
      <c r="T44" s="4"/>
      <c r="U44" s="93"/>
      <c r="V44" s="4"/>
      <c r="W44" s="4"/>
      <c r="X44" s="4" t="s">
        <v>379</v>
      </c>
      <c r="Y44" s="4" t="s">
        <v>147</v>
      </c>
      <c r="Z44" s="4" t="s">
        <v>398</v>
      </c>
      <c r="AA44" s="4"/>
      <c r="AB44" s="4"/>
      <c r="AC44" s="4"/>
      <c r="AD44" s="33"/>
      <c r="AE44" s="41"/>
    </row>
    <row r="45" spans="2:31" ht="225.75" customHeight="1" x14ac:dyDescent="0.2">
      <c r="B45" s="167" t="s">
        <v>399</v>
      </c>
      <c r="C45" s="388" t="s">
        <v>400</v>
      </c>
      <c r="D45" s="387" t="s">
        <v>391</v>
      </c>
      <c r="E45" s="387" t="s">
        <v>401</v>
      </c>
      <c r="F45" s="387" t="s">
        <v>402</v>
      </c>
      <c r="G45" s="387" t="s">
        <v>82</v>
      </c>
      <c r="H45" s="387" t="s">
        <v>285</v>
      </c>
      <c r="I45" s="387" t="s">
        <v>46</v>
      </c>
      <c r="J45" s="389" t="s">
        <v>351</v>
      </c>
      <c r="K45" s="390">
        <v>45986</v>
      </c>
      <c r="L45" s="387" t="s">
        <v>394</v>
      </c>
      <c r="M45" s="387" t="s">
        <v>395</v>
      </c>
      <c r="N45" s="387" t="s">
        <v>396</v>
      </c>
      <c r="O45" s="387" t="s">
        <v>397</v>
      </c>
      <c r="P45" s="387" t="s">
        <v>387</v>
      </c>
      <c r="Q45" s="387" t="s">
        <v>123</v>
      </c>
      <c r="R45" s="387"/>
      <c r="S45" s="456" t="s">
        <v>55</v>
      </c>
      <c r="T45" s="387" t="s">
        <v>55</v>
      </c>
      <c r="U45" s="391"/>
      <c r="V45" s="387"/>
      <c r="W45" s="387" t="s">
        <v>403</v>
      </c>
      <c r="X45" s="387" t="s">
        <v>379</v>
      </c>
      <c r="Y45" s="387" t="s">
        <v>147</v>
      </c>
      <c r="Z45" s="387" t="s">
        <v>404</v>
      </c>
      <c r="AA45" s="387"/>
      <c r="AB45" s="387"/>
      <c r="AC45" s="387"/>
      <c r="AD45" s="389"/>
      <c r="AE45" s="41"/>
    </row>
    <row r="46" spans="2:31" ht="126" customHeight="1" x14ac:dyDescent="0.2">
      <c r="B46" s="167" t="s">
        <v>405</v>
      </c>
      <c r="C46" s="167" t="s">
        <v>406</v>
      </c>
      <c r="D46" s="4" t="s">
        <v>407</v>
      </c>
      <c r="E46" s="4" t="s">
        <v>408</v>
      </c>
      <c r="F46" s="4" t="s">
        <v>409</v>
      </c>
      <c r="G46" s="4" t="s">
        <v>82</v>
      </c>
      <c r="H46" s="4" t="s">
        <v>285</v>
      </c>
      <c r="I46" s="4" t="s">
        <v>46</v>
      </c>
      <c r="J46" s="33" t="s">
        <v>351</v>
      </c>
      <c r="K46" s="170">
        <v>45986</v>
      </c>
      <c r="L46" s="4" t="s">
        <v>410</v>
      </c>
      <c r="M46" s="4" t="s">
        <v>411</v>
      </c>
      <c r="N46" s="4" t="s">
        <v>412</v>
      </c>
      <c r="O46" s="4" t="s">
        <v>413</v>
      </c>
      <c r="P46" s="4" t="s">
        <v>387</v>
      </c>
      <c r="Q46" s="4" t="s">
        <v>123</v>
      </c>
      <c r="R46" s="4"/>
      <c r="S46" s="84" t="s">
        <v>302</v>
      </c>
      <c r="T46" s="4"/>
      <c r="U46" s="93"/>
      <c r="V46" s="4"/>
      <c r="W46" s="4"/>
      <c r="X46" s="4" t="s">
        <v>414</v>
      </c>
      <c r="Y46" s="4" t="s">
        <v>147</v>
      </c>
      <c r="Z46" s="4" t="s">
        <v>415</v>
      </c>
      <c r="AA46" s="4"/>
      <c r="AB46" s="4"/>
      <c r="AC46" s="4"/>
      <c r="AD46" s="33"/>
      <c r="AE46" s="41"/>
    </row>
    <row r="47" spans="2:31" ht="243" customHeight="1" x14ac:dyDescent="0.2">
      <c r="B47" s="167" t="s">
        <v>416</v>
      </c>
      <c r="C47" s="167" t="s">
        <v>417</v>
      </c>
      <c r="D47" s="4" t="s">
        <v>407</v>
      </c>
      <c r="E47" s="4" t="s">
        <v>418</v>
      </c>
      <c r="F47" s="4" t="s">
        <v>419</v>
      </c>
      <c r="G47" s="4" t="s">
        <v>82</v>
      </c>
      <c r="H47" s="4" t="s">
        <v>285</v>
      </c>
      <c r="I47" s="4" t="s">
        <v>46</v>
      </c>
      <c r="J47" s="33" t="s">
        <v>351</v>
      </c>
      <c r="K47" s="170">
        <v>45986</v>
      </c>
      <c r="L47" s="4" t="s">
        <v>420</v>
      </c>
      <c r="M47" s="4" t="s">
        <v>421</v>
      </c>
      <c r="N47" s="4"/>
      <c r="O47" s="4" t="s">
        <v>422</v>
      </c>
      <c r="P47" s="4" t="s">
        <v>72</v>
      </c>
      <c r="Q47" s="4" t="s">
        <v>123</v>
      </c>
      <c r="R47" s="4"/>
      <c r="S47" s="84" t="s">
        <v>302</v>
      </c>
      <c r="T47" s="4"/>
      <c r="U47" s="93"/>
      <c r="V47" s="4"/>
      <c r="W47" s="4"/>
      <c r="X47" s="4" t="s">
        <v>423</v>
      </c>
      <c r="Y47" s="4" t="s">
        <v>58</v>
      </c>
      <c r="Z47" s="4" t="s">
        <v>424</v>
      </c>
      <c r="AA47" s="4"/>
      <c r="AB47" s="4"/>
      <c r="AC47" s="4"/>
      <c r="AD47" s="33"/>
      <c r="AE47" s="41"/>
    </row>
    <row r="48" spans="2:31" ht="270" x14ac:dyDescent="0.2">
      <c r="B48" s="167" t="s">
        <v>425</v>
      </c>
      <c r="C48" s="167" t="s">
        <v>426</v>
      </c>
      <c r="D48" s="4" t="s">
        <v>282</v>
      </c>
      <c r="E48" s="4" t="s">
        <v>427</v>
      </c>
      <c r="F48" s="4" t="s">
        <v>428</v>
      </c>
      <c r="G48" s="4" t="s">
        <v>97</v>
      </c>
      <c r="H48" s="4" t="s">
        <v>285</v>
      </c>
      <c r="I48" s="4" t="s">
        <v>46</v>
      </c>
      <c r="J48" s="33" t="s">
        <v>351</v>
      </c>
      <c r="K48" s="170">
        <v>45986</v>
      </c>
      <c r="L48" s="4" t="s">
        <v>429</v>
      </c>
      <c r="M48" s="4" t="s">
        <v>430</v>
      </c>
      <c r="N48" s="4" t="s">
        <v>431</v>
      </c>
      <c r="O48" s="4" t="s">
        <v>432</v>
      </c>
      <c r="P48" s="4"/>
      <c r="Q48" s="4" t="s">
        <v>73</v>
      </c>
      <c r="R48" s="4"/>
      <c r="S48" s="4" t="s">
        <v>88</v>
      </c>
      <c r="T48" s="4"/>
      <c r="U48" s="93"/>
      <c r="V48" s="4"/>
      <c r="W48" s="4"/>
      <c r="X48" s="4" t="s">
        <v>126</v>
      </c>
      <c r="Y48" s="4" t="s">
        <v>58</v>
      </c>
      <c r="Z48" s="4" t="s">
        <v>433</v>
      </c>
      <c r="AA48" s="4"/>
      <c r="AB48" s="4"/>
      <c r="AC48" s="4"/>
      <c r="AD48" s="33"/>
      <c r="AE48" s="41"/>
    </row>
    <row r="49" spans="2:31" ht="175" customHeight="1" x14ac:dyDescent="0.2">
      <c r="B49" s="167" t="s">
        <v>434</v>
      </c>
      <c r="C49" s="167" t="s">
        <v>435</v>
      </c>
      <c r="D49" s="4" t="s">
        <v>436</v>
      </c>
      <c r="E49" s="4" t="s">
        <v>437</v>
      </c>
      <c r="F49" s="4" t="s">
        <v>438</v>
      </c>
      <c r="G49" s="4" t="s">
        <v>97</v>
      </c>
      <c r="H49" s="4" t="s">
        <v>285</v>
      </c>
      <c r="I49" s="4" t="s">
        <v>46</v>
      </c>
      <c r="J49" s="33" t="s">
        <v>351</v>
      </c>
      <c r="K49" s="170">
        <v>45986</v>
      </c>
      <c r="L49" s="4" t="s">
        <v>439</v>
      </c>
      <c r="M49" s="4" t="s">
        <v>440</v>
      </c>
      <c r="N49" s="4"/>
      <c r="O49" s="4" t="s">
        <v>441</v>
      </c>
      <c r="P49" s="4"/>
      <c r="Q49" s="4" t="s">
        <v>73</v>
      </c>
      <c r="R49" s="4"/>
      <c r="S49" s="3" t="s">
        <v>88</v>
      </c>
      <c r="T49" s="4"/>
      <c r="U49" s="93"/>
      <c r="V49" s="4"/>
      <c r="W49" s="4"/>
      <c r="X49" s="4" t="s">
        <v>442</v>
      </c>
      <c r="Y49" s="4" t="s">
        <v>147</v>
      </c>
      <c r="Z49" s="4" t="s">
        <v>443</v>
      </c>
      <c r="AA49" s="4"/>
      <c r="AB49" s="4"/>
      <c r="AC49" s="4"/>
      <c r="AD49" s="33"/>
      <c r="AE49" s="41"/>
    </row>
    <row r="50" spans="2:31" ht="142.5" customHeight="1" x14ac:dyDescent="0.2">
      <c r="B50" s="167" t="s">
        <v>444</v>
      </c>
      <c r="C50" s="167" t="s">
        <v>445</v>
      </c>
      <c r="D50" s="4" t="s">
        <v>446</v>
      </c>
      <c r="E50" s="4" t="s">
        <v>447</v>
      </c>
      <c r="F50" s="4" t="s">
        <v>448</v>
      </c>
      <c r="G50" s="4" t="s">
        <v>82</v>
      </c>
      <c r="H50" s="4" t="s">
        <v>285</v>
      </c>
      <c r="I50" s="4" t="s">
        <v>46</v>
      </c>
      <c r="J50" s="33" t="s">
        <v>351</v>
      </c>
      <c r="K50" s="170">
        <v>45986</v>
      </c>
      <c r="L50" s="4" t="s">
        <v>449</v>
      </c>
      <c r="M50" s="4" t="s">
        <v>450</v>
      </c>
      <c r="N50" s="4"/>
      <c r="O50" s="4" t="s">
        <v>451</v>
      </c>
      <c r="P50" s="4" t="s">
        <v>355</v>
      </c>
      <c r="Q50" s="4" t="s">
        <v>123</v>
      </c>
      <c r="R50" s="4"/>
      <c r="S50" s="3" t="s">
        <v>452</v>
      </c>
      <c r="T50" s="4"/>
      <c r="U50" s="93"/>
      <c r="V50" s="4"/>
      <c r="W50" s="4" t="s">
        <v>453</v>
      </c>
      <c r="X50" s="4" t="s">
        <v>454</v>
      </c>
      <c r="Y50" s="4" t="s">
        <v>455</v>
      </c>
      <c r="Z50" s="4" t="s">
        <v>456</v>
      </c>
      <c r="AA50" s="4"/>
      <c r="AB50" s="4"/>
      <c r="AC50" s="4"/>
      <c r="AD50" s="33"/>
      <c r="AE50" s="41"/>
    </row>
    <row r="51" spans="2:31" ht="158.5" customHeight="1" x14ac:dyDescent="0.2">
      <c r="B51" s="167" t="s">
        <v>457</v>
      </c>
      <c r="C51" s="167" t="s">
        <v>458</v>
      </c>
      <c r="D51" s="4" t="s">
        <v>446</v>
      </c>
      <c r="E51" s="4" t="s">
        <v>459</v>
      </c>
      <c r="F51" s="4" t="s">
        <v>460</v>
      </c>
      <c r="G51" s="4" t="s">
        <v>97</v>
      </c>
      <c r="H51" s="4" t="s">
        <v>285</v>
      </c>
      <c r="I51" s="4" t="s">
        <v>46</v>
      </c>
      <c r="J51" s="33" t="s">
        <v>351</v>
      </c>
      <c r="K51" s="170">
        <v>45986</v>
      </c>
      <c r="L51" s="4" t="s">
        <v>461</v>
      </c>
      <c r="M51" s="4" t="s">
        <v>462</v>
      </c>
      <c r="N51" s="4"/>
      <c r="O51" s="4" t="s">
        <v>441</v>
      </c>
      <c r="P51" s="4"/>
      <c r="Q51" s="4" t="s">
        <v>73</v>
      </c>
      <c r="R51" s="4"/>
      <c r="S51" s="4" t="s">
        <v>145</v>
      </c>
      <c r="T51" s="3" t="s">
        <v>55</v>
      </c>
      <c r="U51" s="186"/>
      <c r="V51" s="3"/>
      <c r="W51" s="3" t="s">
        <v>463</v>
      </c>
      <c r="X51" s="4"/>
      <c r="Y51" s="4" t="s">
        <v>58</v>
      </c>
      <c r="Z51" s="4" t="s">
        <v>464</v>
      </c>
      <c r="AA51" s="4"/>
      <c r="AB51" s="4"/>
      <c r="AC51" s="4"/>
      <c r="AD51" s="33"/>
      <c r="AE51" s="41"/>
    </row>
    <row r="52" spans="2:31" ht="90" x14ac:dyDescent="0.2">
      <c r="B52" s="167" t="s">
        <v>465</v>
      </c>
      <c r="C52" s="167" t="s">
        <v>466</v>
      </c>
      <c r="D52" s="4" t="s">
        <v>446</v>
      </c>
      <c r="E52" s="4" t="s">
        <v>467</v>
      </c>
      <c r="F52" s="4" t="s">
        <v>468</v>
      </c>
      <c r="G52" s="4" t="s">
        <v>97</v>
      </c>
      <c r="H52" s="4" t="s">
        <v>285</v>
      </c>
      <c r="I52" s="4" t="s">
        <v>46</v>
      </c>
      <c r="J52" s="33" t="s">
        <v>351</v>
      </c>
      <c r="K52" s="170">
        <v>45986</v>
      </c>
      <c r="L52" s="4"/>
      <c r="M52" s="4"/>
      <c r="N52" s="4"/>
      <c r="O52" s="4" t="s">
        <v>441</v>
      </c>
      <c r="P52" s="4"/>
      <c r="Q52" s="4" t="s">
        <v>73</v>
      </c>
      <c r="R52" s="4"/>
      <c r="S52" s="4" t="s">
        <v>105</v>
      </c>
      <c r="T52" s="4"/>
      <c r="U52" s="93"/>
      <c r="V52" s="4"/>
      <c r="W52" s="4"/>
      <c r="X52" s="4"/>
      <c r="Y52" s="4"/>
      <c r="Z52" s="4"/>
      <c r="AA52" s="4"/>
      <c r="AB52" s="4"/>
      <c r="AC52" s="4"/>
      <c r="AD52" s="33"/>
      <c r="AE52" s="41"/>
    </row>
    <row r="53" spans="2:31" ht="69" customHeight="1" x14ac:dyDescent="0.2">
      <c r="B53" s="167" t="s">
        <v>469</v>
      </c>
      <c r="C53" s="167" t="s">
        <v>470</v>
      </c>
      <c r="D53" s="4" t="s">
        <v>130</v>
      </c>
      <c r="E53" s="4" t="s">
        <v>471</v>
      </c>
      <c r="F53" s="4" t="s">
        <v>472</v>
      </c>
      <c r="G53" s="4" t="s">
        <v>271</v>
      </c>
      <c r="H53" s="4" t="s">
        <v>285</v>
      </c>
      <c r="I53" s="4" t="s">
        <v>46</v>
      </c>
      <c r="J53" s="33" t="s">
        <v>351</v>
      </c>
      <c r="K53" s="170">
        <v>45986</v>
      </c>
      <c r="L53" s="4" t="s">
        <v>473</v>
      </c>
      <c r="M53" s="4"/>
      <c r="N53" s="4"/>
      <c r="O53" s="4" t="s">
        <v>135</v>
      </c>
      <c r="P53" s="4" t="s">
        <v>355</v>
      </c>
      <c r="Q53" s="4" t="s">
        <v>87</v>
      </c>
      <c r="R53" s="4"/>
      <c r="S53" s="4" t="s">
        <v>124</v>
      </c>
      <c r="T53" s="4"/>
      <c r="U53" s="93"/>
      <c r="V53" s="4"/>
      <c r="W53" s="4"/>
      <c r="X53" s="4"/>
      <c r="Y53" s="4"/>
      <c r="Z53" s="4"/>
      <c r="AA53" s="4"/>
      <c r="AB53" s="4"/>
      <c r="AC53" s="4"/>
      <c r="AD53" s="33"/>
      <c r="AE53" s="41"/>
    </row>
    <row r="54" spans="2:31" ht="180" x14ac:dyDescent="0.2">
      <c r="B54" s="167" t="s">
        <v>474</v>
      </c>
      <c r="C54" s="167" t="s">
        <v>475</v>
      </c>
      <c r="D54" s="4" t="s">
        <v>476</v>
      </c>
      <c r="E54" s="4" t="s">
        <v>477</v>
      </c>
      <c r="F54" s="4" t="s">
        <v>478</v>
      </c>
      <c r="G54" s="4" t="s">
        <v>82</v>
      </c>
      <c r="H54" s="4" t="s">
        <v>285</v>
      </c>
      <c r="I54" s="4" t="s">
        <v>46</v>
      </c>
      <c r="J54" s="33" t="s">
        <v>351</v>
      </c>
      <c r="K54" s="170">
        <v>45986</v>
      </c>
      <c r="L54" s="4" t="s">
        <v>479</v>
      </c>
      <c r="M54" s="4" t="s">
        <v>480</v>
      </c>
      <c r="N54" s="3" t="s">
        <v>135</v>
      </c>
      <c r="O54" s="4" t="s">
        <v>481</v>
      </c>
      <c r="P54" s="4" t="s">
        <v>72</v>
      </c>
      <c r="Q54" s="4" t="s">
        <v>87</v>
      </c>
      <c r="R54" s="4"/>
      <c r="S54" s="4" t="s">
        <v>105</v>
      </c>
      <c r="T54" s="4"/>
      <c r="U54" s="93"/>
      <c r="V54" s="4"/>
      <c r="W54" s="4"/>
      <c r="X54" s="4"/>
      <c r="Y54" s="4"/>
      <c r="Z54" s="4"/>
      <c r="AA54" s="4"/>
      <c r="AB54" s="4"/>
      <c r="AC54" s="4"/>
      <c r="AD54" s="33"/>
      <c r="AE54" s="41"/>
    </row>
    <row r="55" spans="2:31" ht="69" customHeight="1" x14ac:dyDescent="0.2">
      <c r="B55" s="167" t="s">
        <v>482</v>
      </c>
      <c r="C55" s="167" t="s">
        <v>483</v>
      </c>
      <c r="D55" s="4" t="s">
        <v>446</v>
      </c>
      <c r="E55" s="4" t="s">
        <v>484</v>
      </c>
      <c r="F55" s="4" t="s">
        <v>485</v>
      </c>
      <c r="G55" s="4" t="s">
        <v>486</v>
      </c>
      <c r="H55" s="4" t="s">
        <v>161</v>
      </c>
      <c r="I55" s="4" t="s">
        <v>162</v>
      </c>
      <c r="J55" s="33" t="s">
        <v>487</v>
      </c>
      <c r="K55" s="170">
        <v>45987</v>
      </c>
      <c r="L55" s="4" t="s">
        <v>488</v>
      </c>
      <c r="M55" s="4" t="s">
        <v>489</v>
      </c>
      <c r="N55" s="4" t="s">
        <v>490</v>
      </c>
      <c r="O55" s="4" t="s">
        <v>490</v>
      </c>
      <c r="P55" s="4" t="s">
        <v>491</v>
      </c>
      <c r="Q55" s="4" t="s">
        <v>87</v>
      </c>
      <c r="R55" s="4"/>
      <c r="S55" s="4" t="s">
        <v>492</v>
      </c>
      <c r="T55" s="4" t="s">
        <v>492</v>
      </c>
      <c r="U55" s="93"/>
      <c r="V55" s="4"/>
      <c r="W55" s="4"/>
      <c r="X55" s="4" t="s">
        <v>493</v>
      </c>
      <c r="Y55" s="4" t="s">
        <v>147</v>
      </c>
      <c r="Z55" s="4" t="s">
        <v>494</v>
      </c>
      <c r="AA55" s="4"/>
      <c r="AB55" s="4"/>
      <c r="AC55" s="4"/>
      <c r="AD55" s="33"/>
      <c r="AE55" s="41"/>
    </row>
    <row r="56" spans="2:31" ht="174.75" customHeight="1" x14ac:dyDescent="0.2">
      <c r="B56" s="167" t="s">
        <v>495</v>
      </c>
      <c r="C56" s="167" t="s">
        <v>496</v>
      </c>
      <c r="D56" s="4" t="s">
        <v>325</v>
      </c>
      <c r="E56" s="4" t="s">
        <v>497</v>
      </c>
      <c r="F56" s="4" t="s">
        <v>498</v>
      </c>
      <c r="G56" s="4" t="s">
        <v>82</v>
      </c>
      <c r="H56" s="4" t="s">
        <v>161</v>
      </c>
      <c r="I56" s="4" t="s">
        <v>162</v>
      </c>
      <c r="J56" s="33" t="s">
        <v>499</v>
      </c>
      <c r="K56" s="170">
        <v>45986</v>
      </c>
      <c r="L56" s="4" t="s">
        <v>500</v>
      </c>
      <c r="M56" s="4" t="s">
        <v>501</v>
      </c>
      <c r="N56" s="4"/>
      <c r="O56" s="4" t="s">
        <v>502</v>
      </c>
      <c r="P56" s="4" t="s">
        <v>355</v>
      </c>
      <c r="Q56" s="4" t="s">
        <v>87</v>
      </c>
      <c r="R56" s="4"/>
      <c r="S56" s="3" t="s">
        <v>302</v>
      </c>
      <c r="T56" s="4"/>
      <c r="U56" s="93"/>
      <c r="V56" s="4" t="s">
        <v>162</v>
      </c>
      <c r="W56" s="4"/>
      <c r="X56" s="4" t="s">
        <v>503</v>
      </c>
      <c r="Y56" s="4" t="s">
        <v>109</v>
      </c>
      <c r="Z56" s="4" t="s">
        <v>504</v>
      </c>
      <c r="AA56" s="4" t="s">
        <v>505</v>
      </c>
      <c r="AB56" s="4"/>
      <c r="AC56" s="4"/>
      <c r="AD56" s="33"/>
      <c r="AE56" s="41"/>
    </row>
    <row r="57" spans="2:31" ht="225" x14ac:dyDescent="0.2">
      <c r="B57" s="167" t="s">
        <v>506</v>
      </c>
      <c r="C57" s="392" t="s">
        <v>507</v>
      </c>
      <c r="D57" s="387" t="s">
        <v>64</v>
      </c>
      <c r="E57" s="387" t="s">
        <v>508</v>
      </c>
      <c r="F57" s="387" t="s">
        <v>509</v>
      </c>
      <c r="G57" s="387" t="s">
        <v>271</v>
      </c>
      <c r="H57" s="387" t="s">
        <v>510</v>
      </c>
      <c r="I57" s="387" t="s">
        <v>162</v>
      </c>
      <c r="J57" s="389" t="s">
        <v>339</v>
      </c>
      <c r="K57" s="390">
        <v>45989</v>
      </c>
      <c r="L57" s="387" t="s">
        <v>511</v>
      </c>
      <c r="M57" s="387" t="s">
        <v>512</v>
      </c>
      <c r="N57" s="387"/>
      <c r="O57" s="387" t="s">
        <v>490</v>
      </c>
      <c r="P57" s="387"/>
      <c r="Q57" s="387" t="s">
        <v>87</v>
      </c>
      <c r="R57" s="387"/>
      <c r="S57" s="387" t="s">
        <v>492</v>
      </c>
      <c r="T57" s="387" t="s">
        <v>55</v>
      </c>
      <c r="U57" s="391"/>
      <c r="V57" s="387"/>
      <c r="W57" s="387"/>
      <c r="X57" s="387" t="s">
        <v>513</v>
      </c>
      <c r="Y57" s="387" t="s">
        <v>58</v>
      </c>
      <c r="Z57" s="387" t="s">
        <v>514</v>
      </c>
      <c r="AA57" s="387"/>
      <c r="AB57" s="387"/>
      <c r="AC57" s="387"/>
      <c r="AD57" s="389"/>
      <c r="AE57" s="41"/>
    </row>
    <row r="58" spans="2:31" ht="204" customHeight="1" x14ac:dyDescent="0.2">
      <c r="B58" s="167" t="s">
        <v>515</v>
      </c>
      <c r="C58" s="165" t="s">
        <v>516</v>
      </c>
      <c r="D58" s="4" t="s">
        <v>64</v>
      </c>
      <c r="E58" s="4" t="s">
        <v>517</v>
      </c>
      <c r="F58" s="4" t="s">
        <v>518</v>
      </c>
      <c r="G58" s="4" t="s">
        <v>82</v>
      </c>
      <c r="H58" s="4" t="s">
        <v>285</v>
      </c>
      <c r="I58" s="4" t="s">
        <v>162</v>
      </c>
      <c r="J58" s="33" t="s">
        <v>339</v>
      </c>
      <c r="K58" s="170">
        <v>45989</v>
      </c>
      <c r="L58" s="4" t="s">
        <v>519</v>
      </c>
      <c r="M58" s="4" t="s">
        <v>520</v>
      </c>
      <c r="N58" s="4"/>
      <c r="O58" s="4"/>
      <c r="P58" s="4"/>
      <c r="Q58" s="4" t="s">
        <v>123</v>
      </c>
      <c r="R58" s="4"/>
      <c r="S58" s="84" t="s">
        <v>302</v>
      </c>
      <c r="T58" s="4"/>
      <c r="U58" s="93"/>
      <c r="V58" s="4"/>
      <c r="W58" s="4"/>
      <c r="X58" s="4" t="s">
        <v>521</v>
      </c>
      <c r="Y58" s="4" t="s">
        <v>58</v>
      </c>
      <c r="Z58" s="4" t="s">
        <v>522</v>
      </c>
      <c r="AA58" s="4"/>
      <c r="AB58" s="4"/>
      <c r="AC58" s="4"/>
      <c r="AD58" s="33"/>
      <c r="AE58" s="41"/>
    </row>
    <row r="59" spans="2:31" ht="69" customHeight="1" x14ac:dyDescent="0.2">
      <c r="B59" s="167" t="s">
        <v>523</v>
      </c>
      <c r="C59" s="165" t="s">
        <v>524</v>
      </c>
      <c r="D59" s="4" t="s">
        <v>525</v>
      </c>
      <c r="E59" s="4" t="s">
        <v>526</v>
      </c>
      <c r="F59" s="4" t="s">
        <v>527</v>
      </c>
      <c r="G59" s="4" t="s">
        <v>97</v>
      </c>
      <c r="H59" s="4" t="s">
        <v>285</v>
      </c>
      <c r="I59" s="4" t="s">
        <v>46</v>
      </c>
      <c r="J59" s="33" t="s">
        <v>351</v>
      </c>
      <c r="K59" s="170">
        <v>45999</v>
      </c>
      <c r="L59" s="4" t="s">
        <v>528</v>
      </c>
      <c r="M59" s="4" t="s">
        <v>529</v>
      </c>
      <c r="N59" s="4" t="s">
        <v>530</v>
      </c>
      <c r="O59" s="4" t="s">
        <v>441</v>
      </c>
      <c r="P59" s="4"/>
      <c r="Q59" s="4" t="s">
        <v>73</v>
      </c>
      <c r="R59" s="4"/>
      <c r="S59" s="4" t="s">
        <v>88</v>
      </c>
      <c r="T59" s="4"/>
      <c r="U59" s="93"/>
      <c r="V59" s="4"/>
      <c r="W59" s="4"/>
      <c r="X59" s="4" t="s">
        <v>531</v>
      </c>
      <c r="Y59" s="4" t="s">
        <v>147</v>
      </c>
      <c r="Z59" s="4" t="s">
        <v>532</v>
      </c>
      <c r="AA59" s="4"/>
      <c r="AB59" s="4"/>
      <c r="AC59" s="4"/>
      <c r="AD59" s="33"/>
      <c r="AE59" s="41"/>
    </row>
    <row r="60" spans="2:31" ht="390" customHeight="1" x14ac:dyDescent="0.2">
      <c r="B60" s="167" t="s">
        <v>533</v>
      </c>
      <c r="C60" s="165" t="s">
        <v>534</v>
      </c>
      <c r="D60" s="4" t="s">
        <v>535</v>
      </c>
      <c r="E60" s="100" t="s">
        <v>536</v>
      </c>
      <c r="F60" s="4" t="s">
        <v>537</v>
      </c>
      <c r="G60" s="4" t="s">
        <v>82</v>
      </c>
      <c r="H60" s="4" t="s">
        <v>285</v>
      </c>
      <c r="I60" s="4" t="s">
        <v>162</v>
      </c>
      <c r="J60" s="33" t="s">
        <v>339</v>
      </c>
      <c r="K60" s="170">
        <v>46001</v>
      </c>
      <c r="L60" s="4" t="s">
        <v>538</v>
      </c>
      <c r="M60" s="4" t="s">
        <v>539</v>
      </c>
      <c r="N60" s="4" t="s">
        <v>540</v>
      </c>
      <c r="O60" s="4" t="s">
        <v>490</v>
      </c>
      <c r="P60" s="4"/>
      <c r="Q60" s="4" t="s">
        <v>87</v>
      </c>
      <c r="R60" s="4"/>
      <c r="S60" s="84" t="s">
        <v>302</v>
      </c>
      <c r="T60" s="4"/>
      <c r="U60" s="93"/>
      <c r="V60" s="4"/>
      <c r="W60" s="4"/>
      <c r="X60" s="4" t="s">
        <v>541</v>
      </c>
      <c r="Y60" s="4" t="s">
        <v>109</v>
      </c>
      <c r="Z60" s="397" t="s">
        <v>542</v>
      </c>
      <c r="AA60" s="4"/>
      <c r="AB60" s="4"/>
      <c r="AC60" s="4"/>
      <c r="AD60" s="33"/>
      <c r="AE60" s="41"/>
    </row>
    <row r="61" spans="2:31" ht="102.75" customHeight="1" x14ac:dyDescent="0.2">
      <c r="B61" s="167" t="s">
        <v>543</v>
      </c>
      <c r="C61" s="165" t="s">
        <v>544</v>
      </c>
      <c r="D61" s="4" t="s">
        <v>545</v>
      </c>
      <c r="E61" s="4" t="s">
        <v>546</v>
      </c>
      <c r="F61" s="4" t="s">
        <v>547</v>
      </c>
      <c r="G61" s="4" t="s">
        <v>82</v>
      </c>
      <c r="H61" s="4" t="s">
        <v>161</v>
      </c>
      <c r="I61" s="4" t="s">
        <v>162</v>
      </c>
      <c r="J61" s="33" t="s">
        <v>548</v>
      </c>
      <c r="K61" s="170">
        <v>46027</v>
      </c>
      <c r="L61" s="4" t="s">
        <v>549</v>
      </c>
      <c r="M61" s="4" t="s">
        <v>550</v>
      </c>
      <c r="N61" s="4" t="s">
        <v>551</v>
      </c>
      <c r="O61" s="4"/>
      <c r="P61" s="4"/>
      <c r="Q61" s="4"/>
      <c r="R61" s="4"/>
      <c r="S61" s="84" t="s">
        <v>302</v>
      </c>
      <c r="T61" s="4"/>
      <c r="U61" s="93"/>
      <c r="V61" s="4"/>
      <c r="W61" s="4"/>
      <c r="X61" s="4" t="s">
        <v>552</v>
      </c>
      <c r="Y61" s="4" t="s">
        <v>109</v>
      </c>
      <c r="Z61" s="4" t="s">
        <v>553</v>
      </c>
      <c r="AA61" s="4"/>
      <c r="AB61" s="4"/>
      <c r="AC61" s="4"/>
      <c r="AD61" s="33"/>
      <c r="AE61" s="41"/>
    </row>
    <row r="62" spans="2:31" ht="165" x14ac:dyDescent="0.2">
      <c r="B62" s="167" t="s">
        <v>554</v>
      </c>
      <c r="C62" s="165" t="s">
        <v>555</v>
      </c>
      <c r="D62" s="4" t="s">
        <v>190</v>
      </c>
      <c r="E62" s="4" t="s">
        <v>556</v>
      </c>
      <c r="F62" s="4" t="s">
        <v>557</v>
      </c>
      <c r="G62" s="4" t="s">
        <v>82</v>
      </c>
      <c r="H62" s="4" t="s">
        <v>285</v>
      </c>
      <c r="I62" s="4" t="s">
        <v>46</v>
      </c>
      <c r="J62" s="33" t="s">
        <v>351</v>
      </c>
      <c r="K62" s="170">
        <v>46031</v>
      </c>
      <c r="L62" s="4" t="s">
        <v>558</v>
      </c>
      <c r="M62" s="4" t="s">
        <v>559</v>
      </c>
      <c r="N62" s="4" t="s">
        <v>560</v>
      </c>
      <c r="O62" s="4"/>
      <c r="P62" s="4"/>
      <c r="Q62" s="4" t="s">
        <v>87</v>
      </c>
      <c r="R62" s="4"/>
      <c r="S62" s="84" t="s">
        <v>302</v>
      </c>
      <c r="T62" s="4"/>
      <c r="U62" s="93"/>
      <c r="V62" s="4"/>
      <c r="W62" s="4"/>
      <c r="X62" s="4" t="s">
        <v>561</v>
      </c>
      <c r="Y62" s="4" t="s">
        <v>109</v>
      </c>
      <c r="Z62" s="4" t="s">
        <v>562</v>
      </c>
      <c r="AA62" s="4" t="s">
        <v>563</v>
      </c>
      <c r="AB62" s="4"/>
      <c r="AC62" s="4"/>
      <c r="AD62" s="33"/>
      <c r="AE62" s="41"/>
    </row>
    <row r="63" spans="2:31" ht="165" x14ac:dyDescent="0.2">
      <c r="B63" s="167" t="s">
        <v>554</v>
      </c>
      <c r="C63" s="165" t="s">
        <v>564</v>
      </c>
      <c r="D63" s="382" t="s">
        <v>190</v>
      </c>
      <c r="E63" s="382" t="s">
        <v>556</v>
      </c>
      <c r="F63" s="382" t="s">
        <v>565</v>
      </c>
      <c r="G63" s="382" t="s">
        <v>82</v>
      </c>
      <c r="H63" s="382" t="s">
        <v>285</v>
      </c>
      <c r="I63" s="382" t="s">
        <v>46</v>
      </c>
      <c r="J63" s="383" t="s">
        <v>351</v>
      </c>
      <c r="K63" s="384">
        <v>46031</v>
      </c>
      <c r="L63" s="382" t="s">
        <v>558</v>
      </c>
      <c r="M63" s="382" t="s">
        <v>559</v>
      </c>
      <c r="N63" s="382" t="s">
        <v>560</v>
      </c>
      <c r="O63" s="382"/>
      <c r="P63" s="382"/>
      <c r="Q63" s="382" t="s">
        <v>87</v>
      </c>
      <c r="R63" s="382"/>
      <c r="S63" s="84" t="s">
        <v>302</v>
      </c>
      <c r="T63" s="382"/>
      <c r="U63" s="385"/>
      <c r="V63" s="382"/>
      <c r="W63" s="382"/>
      <c r="X63" s="4" t="s">
        <v>561</v>
      </c>
      <c r="Y63" s="4" t="s">
        <v>109</v>
      </c>
      <c r="Z63" s="4" t="s">
        <v>566</v>
      </c>
      <c r="AA63" s="4" t="s">
        <v>563</v>
      </c>
      <c r="AB63" s="4"/>
      <c r="AC63" s="4"/>
      <c r="AD63" s="33"/>
      <c r="AE63" s="41"/>
    </row>
    <row r="64" spans="2:31" ht="409.5" customHeight="1" x14ac:dyDescent="0.2">
      <c r="B64" s="167" t="s">
        <v>567</v>
      </c>
      <c r="C64" s="165" t="s">
        <v>568</v>
      </c>
      <c r="D64" s="4" t="s">
        <v>325</v>
      </c>
      <c r="E64" s="4" t="s">
        <v>569</v>
      </c>
      <c r="F64" s="4" t="s">
        <v>570</v>
      </c>
      <c r="G64" s="4" t="s">
        <v>82</v>
      </c>
      <c r="H64" s="4" t="s">
        <v>285</v>
      </c>
      <c r="I64" s="4" t="s">
        <v>46</v>
      </c>
      <c r="J64" s="33" t="s">
        <v>351</v>
      </c>
      <c r="K64" s="170">
        <v>46031</v>
      </c>
      <c r="L64" s="4" t="s">
        <v>571</v>
      </c>
      <c r="M64" s="4" t="s">
        <v>572</v>
      </c>
      <c r="N64" s="4" t="s">
        <v>573</v>
      </c>
      <c r="O64" s="4"/>
      <c r="P64" s="4" t="s">
        <v>574</v>
      </c>
      <c r="Q64" s="4" t="s">
        <v>87</v>
      </c>
      <c r="R64" s="4"/>
      <c r="S64" s="3" t="s">
        <v>452</v>
      </c>
      <c r="T64" s="4"/>
      <c r="U64" s="93"/>
      <c r="V64" s="4"/>
      <c r="W64" s="4"/>
      <c r="X64" s="4" t="s">
        <v>575</v>
      </c>
      <c r="Y64" s="4" t="s">
        <v>147</v>
      </c>
      <c r="Z64" s="4" t="s">
        <v>576</v>
      </c>
      <c r="AA64" s="4"/>
      <c r="AB64" s="4"/>
      <c r="AC64" s="4"/>
      <c r="AD64" s="33"/>
      <c r="AE64" s="41"/>
    </row>
    <row r="65" spans="1:39" ht="270" x14ac:dyDescent="0.2">
      <c r="B65" s="167" t="s">
        <v>577</v>
      </c>
      <c r="C65" s="165" t="s">
        <v>578</v>
      </c>
      <c r="D65" s="4" t="s">
        <v>579</v>
      </c>
      <c r="E65" s="4" t="s">
        <v>580</v>
      </c>
      <c r="F65" s="4" t="s">
        <v>581</v>
      </c>
      <c r="G65" s="4" t="s">
        <v>82</v>
      </c>
      <c r="H65" s="4" t="s">
        <v>285</v>
      </c>
      <c r="I65" s="4" t="s">
        <v>46</v>
      </c>
      <c r="J65" s="33" t="s">
        <v>351</v>
      </c>
      <c r="K65" s="170">
        <v>46041</v>
      </c>
      <c r="L65" s="4" t="s">
        <v>582</v>
      </c>
      <c r="M65" s="4" t="s">
        <v>583</v>
      </c>
      <c r="N65" s="440" t="s">
        <v>584</v>
      </c>
      <c r="O65" s="4"/>
      <c r="P65" s="4"/>
      <c r="Q65" s="4"/>
      <c r="R65" s="4"/>
      <c r="S65" s="84" t="s">
        <v>302</v>
      </c>
      <c r="T65" s="4"/>
      <c r="U65" s="93"/>
      <c r="V65" s="4"/>
      <c r="W65" s="4"/>
      <c r="X65" s="4" t="s">
        <v>585</v>
      </c>
      <c r="Y65" s="4" t="s">
        <v>58</v>
      </c>
      <c r="Z65" s="4" t="s">
        <v>586</v>
      </c>
      <c r="AA65" s="4"/>
      <c r="AB65" s="4"/>
      <c r="AC65" s="4"/>
      <c r="AD65" s="33"/>
      <c r="AE65" s="41"/>
    </row>
    <row r="66" spans="1:39" ht="145.5" customHeight="1" x14ac:dyDescent="0.2">
      <c r="B66" s="167" t="s">
        <v>587</v>
      </c>
      <c r="C66" s="165" t="s">
        <v>588</v>
      </c>
      <c r="D66" s="4" t="s">
        <v>545</v>
      </c>
      <c r="E66" s="4" t="s">
        <v>589</v>
      </c>
      <c r="F66" s="4" t="s">
        <v>590</v>
      </c>
      <c r="G66" s="4" t="s">
        <v>82</v>
      </c>
      <c r="H66" s="4" t="s">
        <v>161</v>
      </c>
      <c r="I66" s="4" t="s">
        <v>162</v>
      </c>
      <c r="J66" s="33" t="s">
        <v>591</v>
      </c>
      <c r="K66" s="170">
        <v>46048</v>
      </c>
      <c r="L66" s="4" t="s">
        <v>592</v>
      </c>
      <c r="M66" s="4" t="s">
        <v>593</v>
      </c>
      <c r="N66" s="4" t="s">
        <v>594</v>
      </c>
      <c r="O66" s="4"/>
      <c r="P66" s="4"/>
      <c r="Q66" s="4"/>
      <c r="R66" s="4"/>
      <c r="S66" s="3" t="s">
        <v>595</v>
      </c>
      <c r="T66" s="4"/>
      <c r="U66" s="93"/>
      <c r="V66" s="4"/>
      <c r="W66" s="4"/>
      <c r="X66" s="4" t="s">
        <v>596</v>
      </c>
      <c r="Y66" s="4" t="s">
        <v>109</v>
      </c>
      <c r="Z66" s="4" t="s">
        <v>597</v>
      </c>
      <c r="AA66" s="4"/>
      <c r="AB66" s="4" t="s">
        <v>598</v>
      </c>
      <c r="AC66" s="4"/>
      <c r="AD66" s="33"/>
      <c r="AE66" s="41"/>
    </row>
    <row r="67" spans="1:39" s="5" customFormat="1" ht="210" x14ac:dyDescent="0.2">
      <c r="A67" s="427"/>
      <c r="B67" s="397">
        <v>166</v>
      </c>
      <c r="C67" s="428" t="s">
        <v>599</v>
      </c>
      <c r="D67" s="429" t="s">
        <v>139</v>
      </c>
      <c r="E67" s="429" t="s">
        <v>600</v>
      </c>
      <c r="F67" s="430" t="s">
        <v>601</v>
      </c>
      <c r="G67" s="429" t="s">
        <v>602</v>
      </c>
      <c r="H67" s="429" t="s">
        <v>54</v>
      </c>
      <c r="I67" s="429" t="s">
        <v>54</v>
      </c>
      <c r="J67" s="429" t="s">
        <v>603</v>
      </c>
      <c r="K67" s="431">
        <v>46048</v>
      </c>
      <c r="L67" s="429" t="s">
        <v>604</v>
      </c>
      <c r="M67" s="429" t="s">
        <v>605</v>
      </c>
      <c r="N67" s="429" t="s">
        <v>606</v>
      </c>
      <c r="O67" s="429" t="s">
        <v>54</v>
      </c>
      <c r="P67" s="429" t="s">
        <v>54</v>
      </c>
      <c r="Q67" s="429" t="s">
        <v>54</v>
      </c>
      <c r="R67" s="429" t="s">
        <v>54</v>
      </c>
      <c r="S67" s="430" t="s">
        <v>607</v>
      </c>
      <c r="T67" s="429" t="s">
        <v>54</v>
      </c>
      <c r="U67" s="432" t="s">
        <v>54</v>
      </c>
      <c r="V67" s="429" t="s">
        <v>54</v>
      </c>
      <c r="W67" s="429" t="s">
        <v>54</v>
      </c>
      <c r="X67" s="429" t="s">
        <v>608</v>
      </c>
      <c r="Y67" s="429" t="s">
        <v>609</v>
      </c>
      <c r="Z67" s="429" t="s">
        <v>610</v>
      </c>
      <c r="AA67" s="429" t="s">
        <v>54</v>
      </c>
      <c r="AB67" s="430"/>
      <c r="AC67" s="429" t="s">
        <v>54</v>
      </c>
      <c r="AD67" s="429" t="s">
        <v>54</v>
      </c>
      <c r="AE67" s="427"/>
      <c r="AF67" s="427"/>
      <c r="AG67" s="426"/>
      <c r="AH67" s="427"/>
      <c r="AI67" s="427"/>
      <c r="AJ67" s="427"/>
      <c r="AK67" s="427"/>
      <c r="AL67" s="427"/>
    </row>
    <row r="68" spans="1:39" ht="225" x14ac:dyDescent="0.2">
      <c r="B68" s="167" t="s">
        <v>611</v>
      </c>
      <c r="C68" s="165" t="s">
        <v>612</v>
      </c>
      <c r="D68" s="4" t="s">
        <v>535</v>
      </c>
      <c r="E68" s="4" t="s">
        <v>613</v>
      </c>
      <c r="F68" s="4" t="s">
        <v>614</v>
      </c>
      <c r="G68" s="4" t="s">
        <v>82</v>
      </c>
      <c r="H68" s="4" t="s">
        <v>285</v>
      </c>
      <c r="I68" s="4" t="s">
        <v>46</v>
      </c>
      <c r="J68" s="33" t="s">
        <v>351</v>
      </c>
      <c r="K68" s="170">
        <v>46048</v>
      </c>
      <c r="L68" s="4" t="s">
        <v>615</v>
      </c>
      <c r="M68" s="4" t="s">
        <v>616</v>
      </c>
      <c r="N68" s="4" t="s">
        <v>617</v>
      </c>
      <c r="O68" s="4"/>
      <c r="P68" s="4"/>
      <c r="Q68" s="4"/>
      <c r="R68" s="4"/>
      <c r="S68" s="4" t="s">
        <v>618</v>
      </c>
      <c r="T68" s="4"/>
      <c r="U68" s="93"/>
      <c r="V68" s="4"/>
      <c r="W68" s="4"/>
      <c r="X68" s="4" t="s">
        <v>619</v>
      </c>
      <c r="Y68" s="4" t="s">
        <v>58</v>
      </c>
      <c r="Z68" s="4" t="s">
        <v>620</v>
      </c>
      <c r="AA68" s="4"/>
      <c r="AB68" s="4"/>
      <c r="AC68" s="4"/>
      <c r="AD68" s="33"/>
      <c r="AE68" s="41" t="s">
        <v>61</v>
      </c>
    </row>
    <row r="69" spans="1:39" ht="148.5" customHeight="1" x14ac:dyDescent="0.2">
      <c r="B69" s="167" t="s">
        <v>621</v>
      </c>
      <c r="C69" s="392" t="s">
        <v>622</v>
      </c>
      <c r="D69" s="4" t="s">
        <v>348</v>
      </c>
      <c r="E69" s="4" t="s">
        <v>623</v>
      </c>
      <c r="F69" s="4" t="s">
        <v>624</v>
      </c>
      <c r="G69" s="4" t="s">
        <v>82</v>
      </c>
      <c r="H69" s="4" t="s">
        <v>285</v>
      </c>
      <c r="I69" s="4" t="s">
        <v>46</v>
      </c>
      <c r="J69" s="33" t="s">
        <v>351</v>
      </c>
      <c r="K69" s="170">
        <v>46048</v>
      </c>
      <c r="L69" s="4" t="s">
        <v>625</v>
      </c>
      <c r="M69" s="4" t="s">
        <v>626</v>
      </c>
      <c r="N69" s="4"/>
      <c r="O69" s="4"/>
      <c r="P69" s="4"/>
      <c r="Q69" s="4"/>
      <c r="R69" s="4"/>
      <c r="S69" s="4" t="s">
        <v>55</v>
      </c>
      <c r="T69" s="4" t="s">
        <v>55</v>
      </c>
      <c r="U69" s="93"/>
      <c r="V69" s="4"/>
      <c r="W69" s="4" t="s">
        <v>627</v>
      </c>
      <c r="X69" s="4" t="s">
        <v>628</v>
      </c>
      <c r="Y69" s="4" t="s">
        <v>147</v>
      </c>
      <c r="Z69" s="4" t="s">
        <v>629</v>
      </c>
      <c r="AA69" s="4"/>
      <c r="AB69" s="4"/>
      <c r="AC69" s="4"/>
      <c r="AD69" s="33"/>
      <c r="AE69" s="41" t="s">
        <v>61</v>
      </c>
    </row>
    <row r="70" spans="1:39" ht="345" x14ac:dyDescent="0.2">
      <c r="B70" s="167" t="s">
        <v>630</v>
      </c>
      <c r="C70" s="165" t="s">
        <v>631</v>
      </c>
      <c r="D70" s="165" t="s">
        <v>632</v>
      </c>
      <c r="E70" s="4" t="s">
        <v>633</v>
      </c>
      <c r="F70" s="4" t="s">
        <v>634</v>
      </c>
      <c r="G70" s="4" t="s">
        <v>635</v>
      </c>
      <c r="H70" s="4" t="s">
        <v>45</v>
      </c>
      <c r="I70" s="4" t="s">
        <v>162</v>
      </c>
      <c r="J70" s="33" t="s">
        <v>636</v>
      </c>
      <c r="K70" s="170">
        <v>46051</v>
      </c>
      <c r="L70" s="4" t="s">
        <v>637</v>
      </c>
      <c r="M70" s="4" t="s">
        <v>638</v>
      </c>
      <c r="N70" s="4"/>
      <c r="O70" s="4"/>
      <c r="P70" s="4"/>
      <c r="Q70" s="4"/>
      <c r="R70" s="4"/>
      <c r="S70" s="4" t="s">
        <v>639</v>
      </c>
      <c r="T70" s="4"/>
      <c r="U70" s="93"/>
      <c r="V70" s="4"/>
      <c r="W70" s="4"/>
      <c r="X70" s="4" t="s">
        <v>135</v>
      </c>
      <c r="Y70" s="4" t="s">
        <v>147</v>
      </c>
      <c r="Z70" s="397" t="s">
        <v>640</v>
      </c>
      <c r="AA70" s="4"/>
      <c r="AB70" s="4"/>
      <c r="AC70" s="4"/>
      <c r="AD70" s="33"/>
      <c r="AE70" s="41" t="s">
        <v>61</v>
      </c>
    </row>
    <row r="71" spans="1:39" ht="135" x14ac:dyDescent="0.2">
      <c r="B71" s="458" t="s">
        <v>641</v>
      </c>
      <c r="C71" s="377" t="s">
        <v>642</v>
      </c>
      <c r="D71" s="377" t="s">
        <v>139</v>
      </c>
      <c r="E71" s="378" t="s">
        <v>643</v>
      </c>
      <c r="F71" s="457" t="s">
        <v>644</v>
      </c>
      <c r="G71" s="378" t="s">
        <v>139</v>
      </c>
      <c r="H71" s="378"/>
      <c r="I71" s="378" t="s">
        <v>162</v>
      </c>
      <c r="J71" s="379" t="s">
        <v>591</v>
      </c>
      <c r="K71" s="380">
        <v>46072</v>
      </c>
      <c r="L71" s="378" t="s">
        <v>645</v>
      </c>
      <c r="M71" s="378" t="s">
        <v>646</v>
      </c>
      <c r="N71" s="378"/>
      <c r="O71" s="378"/>
      <c r="P71" s="378"/>
      <c r="Q71" s="378" t="s">
        <v>123</v>
      </c>
      <c r="R71" s="378" t="s">
        <v>647</v>
      </c>
      <c r="S71" s="84" t="s">
        <v>302</v>
      </c>
      <c r="T71" s="378"/>
      <c r="U71" s="381"/>
      <c r="V71" s="378"/>
      <c r="W71" s="378"/>
      <c r="X71" s="378"/>
      <c r="Y71" s="378" t="s">
        <v>58</v>
      </c>
      <c r="Z71" s="378" t="s">
        <v>648</v>
      </c>
      <c r="AA71" s="378"/>
      <c r="AB71" s="378"/>
      <c r="AC71" s="378"/>
      <c r="AD71" s="379"/>
      <c r="AE71" s="41" t="s">
        <v>61</v>
      </c>
      <c r="AF71" s="376"/>
      <c r="AG71" s="376"/>
      <c r="AH71" s="376"/>
      <c r="AI71" s="376"/>
      <c r="AJ71" s="376"/>
      <c r="AK71" s="376"/>
      <c r="AL71" s="376"/>
      <c r="AM71" s="376"/>
    </row>
    <row r="72" spans="1:39" ht="90" x14ac:dyDescent="0.2">
      <c r="B72" s="167" t="s">
        <v>649</v>
      </c>
      <c r="C72" s="165" t="s">
        <v>650</v>
      </c>
      <c r="D72" s="165"/>
      <c r="E72" s="4" t="s">
        <v>651</v>
      </c>
      <c r="F72" s="4" t="s">
        <v>652</v>
      </c>
      <c r="G72" s="4" t="s">
        <v>653</v>
      </c>
      <c r="H72" s="4" t="s">
        <v>161</v>
      </c>
      <c r="I72" s="4" t="s">
        <v>162</v>
      </c>
      <c r="J72" s="33" t="s">
        <v>654</v>
      </c>
      <c r="K72" s="170">
        <v>46072</v>
      </c>
      <c r="L72" s="4" t="s">
        <v>655</v>
      </c>
      <c r="M72" s="4" t="s">
        <v>656</v>
      </c>
      <c r="N72" s="4"/>
      <c r="O72" s="4"/>
      <c r="P72" s="4"/>
      <c r="Q72" s="4"/>
      <c r="R72" s="4"/>
      <c r="S72" s="84" t="s">
        <v>302</v>
      </c>
      <c r="T72" s="4"/>
      <c r="U72" s="93"/>
      <c r="V72" s="4"/>
      <c r="W72" s="4"/>
      <c r="X72" s="4"/>
      <c r="Y72" s="4" t="s">
        <v>147</v>
      </c>
      <c r="Z72" s="4" t="s">
        <v>657</v>
      </c>
      <c r="AA72" s="4"/>
      <c r="AB72" s="4"/>
      <c r="AC72" s="4"/>
      <c r="AD72" s="33"/>
      <c r="AE72" s="41" t="s">
        <v>61</v>
      </c>
      <c r="AF72" s="376"/>
      <c r="AG72" s="376"/>
      <c r="AH72" s="376"/>
      <c r="AI72" s="376"/>
      <c r="AJ72" s="376"/>
      <c r="AK72" s="376"/>
      <c r="AL72" s="376"/>
      <c r="AM72" s="376"/>
    </row>
    <row r="73" spans="1:39" ht="90" x14ac:dyDescent="0.2">
      <c r="B73" s="167" t="s">
        <v>658</v>
      </c>
      <c r="C73" s="165" t="s">
        <v>659</v>
      </c>
      <c r="D73" s="165" t="s">
        <v>660</v>
      </c>
      <c r="E73" s="4" t="s">
        <v>661</v>
      </c>
      <c r="F73" s="4" t="s">
        <v>662</v>
      </c>
      <c r="G73" s="4" t="s">
        <v>82</v>
      </c>
      <c r="H73" s="4"/>
      <c r="I73" s="4" t="s">
        <v>46</v>
      </c>
      <c r="J73" s="33" t="s">
        <v>47</v>
      </c>
      <c r="K73" s="170">
        <v>46076</v>
      </c>
      <c r="L73" s="4" t="s">
        <v>663</v>
      </c>
      <c r="M73" s="4" t="s">
        <v>664</v>
      </c>
      <c r="N73" s="4" t="s">
        <v>665</v>
      </c>
      <c r="O73" s="4"/>
      <c r="P73" s="4"/>
      <c r="Q73" s="4"/>
      <c r="R73" s="4"/>
      <c r="S73" s="4" t="s">
        <v>145</v>
      </c>
      <c r="T73" s="4" t="s">
        <v>55</v>
      </c>
      <c r="U73" s="93"/>
      <c r="V73" s="4"/>
      <c r="W73" s="4" t="s">
        <v>666</v>
      </c>
      <c r="X73" s="4"/>
      <c r="Y73" s="4"/>
      <c r="Z73" s="4"/>
      <c r="AA73" s="4"/>
      <c r="AB73" s="4"/>
      <c r="AC73" s="4"/>
      <c r="AD73" s="33"/>
      <c r="AE73" s="41" t="s">
        <v>61</v>
      </c>
      <c r="AF73" s="376"/>
      <c r="AG73" s="376"/>
      <c r="AH73" s="376"/>
      <c r="AI73" s="376"/>
      <c r="AJ73" s="376"/>
      <c r="AK73" s="376"/>
      <c r="AL73" s="376"/>
      <c r="AM73" s="376"/>
    </row>
    <row r="74" spans="1:39" ht="180" x14ac:dyDescent="0.2">
      <c r="B74" s="167" t="s">
        <v>667</v>
      </c>
      <c r="C74" s="165" t="s">
        <v>668</v>
      </c>
      <c r="D74" s="165" t="s">
        <v>190</v>
      </c>
      <c r="E74" s="4" t="s">
        <v>669</v>
      </c>
      <c r="F74" s="4" t="s">
        <v>670</v>
      </c>
      <c r="G74" s="4" t="s">
        <v>258</v>
      </c>
      <c r="H74" s="4" t="s">
        <v>243</v>
      </c>
      <c r="I74" s="4" t="s">
        <v>46</v>
      </c>
      <c r="J74" s="33" t="s">
        <v>47</v>
      </c>
      <c r="K74" s="170">
        <v>46076</v>
      </c>
      <c r="L74" s="4" t="s">
        <v>671</v>
      </c>
      <c r="M74" s="4" t="s">
        <v>672</v>
      </c>
      <c r="N74" s="4"/>
      <c r="O74" s="4"/>
      <c r="P74" s="4"/>
      <c r="Q74" s="4"/>
      <c r="R74" s="4"/>
      <c r="S74" s="3" t="s">
        <v>595</v>
      </c>
      <c r="T74" s="4"/>
      <c r="U74" s="93"/>
      <c r="V74" s="4"/>
      <c r="W74" s="4"/>
      <c r="X74" s="4" t="s">
        <v>673</v>
      </c>
      <c r="Y74" s="4" t="s">
        <v>109</v>
      </c>
      <c r="Z74" s="4" t="s">
        <v>674</v>
      </c>
      <c r="AA74" s="4"/>
      <c r="AB74" s="4"/>
      <c r="AC74" s="4"/>
      <c r="AD74" s="33"/>
      <c r="AE74" s="41" t="s">
        <v>61</v>
      </c>
      <c r="AF74" s="376"/>
      <c r="AG74" s="376"/>
      <c r="AH74" s="376"/>
      <c r="AI74" s="376"/>
      <c r="AJ74" s="376"/>
      <c r="AK74" s="376"/>
      <c r="AL74" s="376"/>
      <c r="AM74" s="376"/>
    </row>
    <row r="75" spans="1:39" ht="210" x14ac:dyDescent="0.2">
      <c r="B75" s="167" t="s">
        <v>675</v>
      </c>
      <c r="C75" s="165" t="s">
        <v>676</v>
      </c>
      <c r="D75" s="165" t="s">
        <v>294</v>
      </c>
      <c r="E75" s="4" t="s">
        <v>677</v>
      </c>
      <c r="F75" s="4" t="s">
        <v>678</v>
      </c>
      <c r="G75" s="4" t="s">
        <v>82</v>
      </c>
      <c r="H75" s="4" t="s">
        <v>161</v>
      </c>
      <c r="I75" s="4" t="s">
        <v>46</v>
      </c>
      <c r="J75" s="33" t="s">
        <v>47</v>
      </c>
      <c r="K75" s="170">
        <v>46077</v>
      </c>
      <c r="L75" s="4" t="s">
        <v>679</v>
      </c>
      <c r="M75" s="4" t="s">
        <v>680</v>
      </c>
      <c r="N75" s="4" t="s">
        <v>681</v>
      </c>
      <c r="O75" s="4"/>
      <c r="P75" s="4" t="s">
        <v>682</v>
      </c>
      <c r="Q75" s="4"/>
      <c r="R75" s="4"/>
      <c r="S75" s="3" t="s">
        <v>452</v>
      </c>
      <c r="T75" s="4"/>
      <c r="U75" s="93"/>
      <c r="V75" s="4"/>
      <c r="W75" s="4"/>
      <c r="X75" s="4" t="s">
        <v>683</v>
      </c>
      <c r="Y75" s="4" t="s">
        <v>109</v>
      </c>
      <c r="Z75" s="4" t="s">
        <v>684</v>
      </c>
      <c r="AA75" s="4" t="s">
        <v>685</v>
      </c>
      <c r="AB75" s="4"/>
      <c r="AC75" s="4"/>
      <c r="AD75" s="33"/>
      <c r="AE75" s="41" t="s">
        <v>61</v>
      </c>
      <c r="AF75" s="376"/>
      <c r="AG75" s="376"/>
      <c r="AH75" s="376"/>
      <c r="AI75" s="376"/>
      <c r="AJ75" s="376"/>
      <c r="AK75" s="376"/>
      <c r="AL75" s="376"/>
      <c r="AM75" s="376"/>
    </row>
    <row r="76" spans="1:39" ht="154.4" customHeight="1" x14ac:dyDescent="0.2">
      <c r="B76" s="167" t="s">
        <v>686</v>
      </c>
      <c r="C76" s="165" t="s">
        <v>687</v>
      </c>
      <c r="D76" s="165"/>
      <c r="E76" s="4" t="s">
        <v>688</v>
      </c>
      <c r="F76" s="33" t="s">
        <v>689</v>
      </c>
      <c r="G76" s="4" t="s">
        <v>653</v>
      </c>
      <c r="H76" s="4" t="s">
        <v>161</v>
      </c>
      <c r="I76" s="4" t="s">
        <v>162</v>
      </c>
      <c r="J76" s="33" t="s">
        <v>654</v>
      </c>
      <c r="K76" s="170">
        <v>46083</v>
      </c>
      <c r="L76" s="4" t="s">
        <v>690</v>
      </c>
      <c r="M76" s="4" t="s">
        <v>691</v>
      </c>
      <c r="N76" s="4"/>
      <c r="O76" s="4"/>
      <c r="P76" s="4"/>
      <c r="Q76" s="4"/>
      <c r="R76" s="4"/>
      <c r="S76" s="3" t="s">
        <v>302</v>
      </c>
      <c r="T76" s="4"/>
      <c r="U76" s="93"/>
      <c r="V76" s="4"/>
      <c r="W76" s="4"/>
      <c r="X76" s="4"/>
      <c r="Y76" s="4" t="s">
        <v>58</v>
      </c>
      <c r="Z76" s="4" t="s">
        <v>692</v>
      </c>
      <c r="AA76" s="4"/>
      <c r="AB76" s="4"/>
      <c r="AC76" s="4"/>
      <c r="AD76" s="33"/>
      <c r="AE76" s="41" t="s">
        <v>61</v>
      </c>
      <c r="AF76" s="376"/>
      <c r="AG76" s="376"/>
      <c r="AH76" s="376"/>
      <c r="AI76" s="376"/>
      <c r="AJ76" s="376"/>
      <c r="AK76" s="376"/>
      <c r="AL76" s="376"/>
      <c r="AM76" s="376"/>
    </row>
    <row r="77" spans="1:39" ht="375" x14ac:dyDescent="0.2">
      <c r="B77" s="447" t="s">
        <v>693</v>
      </c>
      <c r="C77" s="165" t="s">
        <v>694</v>
      </c>
      <c r="D77" s="165" t="s">
        <v>695</v>
      </c>
      <c r="E77" s="4" t="s">
        <v>696</v>
      </c>
      <c r="F77" s="4" t="s">
        <v>697</v>
      </c>
      <c r="G77" s="4" t="s">
        <v>82</v>
      </c>
      <c r="H77" s="4" t="s">
        <v>285</v>
      </c>
      <c r="I77" s="4" t="s">
        <v>260</v>
      </c>
      <c r="J77" s="33" t="s">
        <v>698</v>
      </c>
      <c r="K77" s="170">
        <v>46091</v>
      </c>
      <c r="L77" s="4" t="s">
        <v>699</v>
      </c>
      <c r="M77" s="4" t="s">
        <v>700</v>
      </c>
      <c r="N77" s="4" t="s">
        <v>701</v>
      </c>
      <c r="O77" s="4" t="s">
        <v>702</v>
      </c>
      <c r="P77" s="4" t="s">
        <v>574</v>
      </c>
      <c r="Q77" s="4"/>
      <c r="R77" s="4"/>
      <c r="S77" s="4" t="s">
        <v>55</v>
      </c>
      <c r="T77" s="4" t="s">
        <v>55</v>
      </c>
      <c r="U77" s="93"/>
      <c r="V77" s="4"/>
      <c r="W77" s="4" t="s">
        <v>703</v>
      </c>
      <c r="X77" s="4" t="s">
        <v>704</v>
      </c>
      <c r="Y77" s="4" t="s">
        <v>147</v>
      </c>
      <c r="Z77" s="4" t="s">
        <v>705</v>
      </c>
      <c r="AA77" s="4"/>
      <c r="AB77" s="3" t="s">
        <v>706</v>
      </c>
      <c r="AC77" s="4"/>
      <c r="AD77" s="33"/>
      <c r="AE77" s="41" t="s">
        <v>61</v>
      </c>
      <c r="AF77" s="376"/>
      <c r="AG77" s="376"/>
      <c r="AH77" s="376"/>
      <c r="AI77" s="376"/>
      <c r="AJ77" s="126" t="s">
        <v>707</v>
      </c>
      <c r="AK77" s="376"/>
      <c r="AL77" s="376"/>
      <c r="AM77" s="376"/>
    </row>
    <row r="78" spans="1:39" ht="154.4" customHeight="1" x14ac:dyDescent="0.2">
      <c r="B78" s="167" t="s">
        <v>708</v>
      </c>
      <c r="C78" s="165" t="s">
        <v>709</v>
      </c>
      <c r="D78" s="165" t="s">
        <v>695</v>
      </c>
      <c r="E78" s="4" t="s">
        <v>710</v>
      </c>
      <c r="F78" s="4" t="s">
        <v>711</v>
      </c>
      <c r="G78" s="351" t="s">
        <v>271</v>
      </c>
      <c r="H78" s="4" t="s">
        <v>510</v>
      </c>
      <c r="I78" s="4" t="s">
        <v>46</v>
      </c>
      <c r="J78" s="33" t="s">
        <v>698</v>
      </c>
      <c r="K78" s="170">
        <v>46091</v>
      </c>
      <c r="L78" s="4" t="s">
        <v>712</v>
      </c>
      <c r="M78" s="4" t="s">
        <v>713</v>
      </c>
      <c r="N78" s="4"/>
      <c r="O78" s="4"/>
      <c r="P78" s="4" t="s">
        <v>574</v>
      </c>
      <c r="Q78" s="4"/>
      <c r="R78" s="4"/>
      <c r="S78" s="3" t="s">
        <v>302</v>
      </c>
      <c r="T78" s="4"/>
      <c r="U78" s="93"/>
      <c r="V78" s="4"/>
      <c r="W78" s="4"/>
      <c r="X78" s="4" t="s">
        <v>704</v>
      </c>
      <c r="Y78" s="4" t="s">
        <v>147</v>
      </c>
      <c r="Z78" s="4" t="s">
        <v>714</v>
      </c>
      <c r="AA78" s="4"/>
      <c r="AB78" s="4"/>
      <c r="AC78" s="4"/>
      <c r="AD78" s="33"/>
      <c r="AE78" s="41" t="s">
        <v>61</v>
      </c>
    </row>
    <row r="79" spans="1:39" ht="409.5" customHeight="1" x14ac:dyDescent="0.2">
      <c r="B79" s="167" t="s">
        <v>715</v>
      </c>
      <c r="C79" s="165" t="s">
        <v>716</v>
      </c>
      <c r="D79" s="165" t="s">
        <v>348</v>
      </c>
      <c r="E79" s="4" t="s">
        <v>717</v>
      </c>
      <c r="F79" s="4" t="s">
        <v>718</v>
      </c>
      <c r="G79" s="351" t="s">
        <v>82</v>
      </c>
      <c r="H79" s="4" t="s">
        <v>272</v>
      </c>
      <c r="I79" s="4" t="s">
        <v>46</v>
      </c>
      <c r="J79" s="33" t="s">
        <v>698</v>
      </c>
      <c r="K79" s="170">
        <v>46097</v>
      </c>
      <c r="L79" s="4" t="s">
        <v>719</v>
      </c>
      <c r="M79" s="4" t="s">
        <v>720</v>
      </c>
      <c r="N79" s="4" t="s">
        <v>721</v>
      </c>
      <c r="O79" s="4"/>
      <c r="P79" s="4" t="s">
        <v>722</v>
      </c>
      <c r="Q79" s="4" t="s">
        <v>73</v>
      </c>
      <c r="R79" s="4"/>
      <c r="S79" s="4" t="s">
        <v>88</v>
      </c>
      <c r="T79" s="4"/>
      <c r="U79" s="93"/>
      <c r="V79" s="4"/>
      <c r="W79" s="4"/>
      <c r="X79" s="246" t="s">
        <v>723</v>
      </c>
      <c r="Y79" s="246" t="s">
        <v>147</v>
      </c>
      <c r="Z79" s="4" t="s">
        <v>724</v>
      </c>
      <c r="AA79" s="4"/>
      <c r="AB79" s="4"/>
      <c r="AC79" s="4"/>
      <c r="AD79" s="33"/>
      <c r="AE79" s="41"/>
    </row>
    <row r="80" spans="1:39" ht="154.4" customHeight="1" x14ac:dyDescent="0.2">
      <c r="B80" s="167" t="s">
        <v>725</v>
      </c>
      <c r="C80" s="165" t="s">
        <v>726</v>
      </c>
      <c r="D80" s="165" t="s">
        <v>525</v>
      </c>
      <c r="E80" s="4" t="s">
        <v>727</v>
      </c>
      <c r="F80" s="4" t="s">
        <v>728</v>
      </c>
      <c r="G80" s="351" t="s">
        <v>97</v>
      </c>
      <c r="H80" s="4" t="s">
        <v>272</v>
      </c>
      <c r="I80" s="4" t="s">
        <v>260</v>
      </c>
      <c r="J80" s="33" t="s">
        <v>698</v>
      </c>
      <c r="K80" s="170">
        <v>46097</v>
      </c>
      <c r="L80" s="4" t="s">
        <v>729</v>
      </c>
      <c r="M80" s="4" t="s">
        <v>730</v>
      </c>
      <c r="N80" s="4"/>
      <c r="O80" s="4"/>
      <c r="P80" s="4" t="s">
        <v>574</v>
      </c>
      <c r="Q80" s="4" t="s">
        <v>73</v>
      </c>
      <c r="R80" s="4"/>
      <c r="S80" s="4" t="s">
        <v>731</v>
      </c>
      <c r="T80" s="3" t="s">
        <v>55</v>
      </c>
      <c r="U80" s="93"/>
      <c r="V80" s="4"/>
      <c r="W80" s="3" t="s">
        <v>732</v>
      </c>
      <c r="X80" s="351" t="s">
        <v>733</v>
      </c>
      <c r="Y80" s="351" t="s">
        <v>147</v>
      </c>
      <c r="Z80" s="4" t="s">
        <v>734</v>
      </c>
      <c r="AA80" s="4"/>
      <c r="AB80" s="4"/>
      <c r="AC80" s="4"/>
      <c r="AD80" s="33"/>
      <c r="AE80" s="41"/>
    </row>
    <row r="81" spans="1:39" ht="195" x14ac:dyDescent="0.2">
      <c r="B81" s="164" t="s">
        <v>735</v>
      </c>
      <c r="C81" s="393" t="s">
        <v>736</v>
      </c>
      <c r="D81" s="393" t="s">
        <v>446</v>
      </c>
      <c r="E81" s="100" t="s">
        <v>737</v>
      </c>
      <c r="F81" s="237" t="s">
        <v>738</v>
      </c>
      <c r="G81" s="394" t="s">
        <v>82</v>
      </c>
      <c r="H81" s="100" t="s">
        <v>739</v>
      </c>
      <c r="I81" s="100" t="s">
        <v>260</v>
      </c>
      <c r="J81" s="237" t="s">
        <v>698</v>
      </c>
      <c r="K81" s="395">
        <v>46097</v>
      </c>
      <c r="L81" s="100" t="s">
        <v>740</v>
      </c>
      <c r="M81" s="100" t="s">
        <v>741</v>
      </c>
      <c r="N81" s="100" t="s">
        <v>742</v>
      </c>
      <c r="O81" s="100"/>
      <c r="P81" s="100" t="s">
        <v>574</v>
      </c>
      <c r="Q81" s="100" t="s">
        <v>73</v>
      </c>
      <c r="R81" s="100"/>
      <c r="S81" s="100" t="s">
        <v>55</v>
      </c>
      <c r="T81" s="100" t="s">
        <v>55</v>
      </c>
      <c r="U81" s="396"/>
      <c r="V81" s="100"/>
      <c r="W81" s="100" t="s">
        <v>743</v>
      </c>
      <c r="X81" s="394" t="s">
        <v>135</v>
      </c>
      <c r="Y81" s="394" t="s">
        <v>744</v>
      </c>
      <c r="Z81" s="100" t="s">
        <v>745</v>
      </c>
      <c r="AA81" s="100"/>
      <c r="AB81" s="100"/>
      <c r="AC81" s="100"/>
      <c r="AD81" s="237"/>
      <c r="AE81" s="32"/>
      <c r="AF81" s="376"/>
      <c r="AG81" s="376"/>
      <c r="AH81" s="376"/>
      <c r="AI81" s="376"/>
      <c r="AJ81" s="376"/>
      <c r="AK81" s="376"/>
      <c r="AL81" s="376"/>
      <c r="AM81" s="376"/>
    </row>
    <row r="82" spans="1:39" ht="208.5" customHeight="1" x14ac:dyDescent="0.2">
      <c r="B82" s="167" t="s">
        <v>746</v>
      </c>
      <c r="C82" s="392" t="s">
        <v>747</v>
      </c>
      <c r="D82" s="433" t="s">
        <v>446</v>
      </c>
      <c r="E82" s="387" t="s">
        <v>748</v>
      </c>
      <c r="F82" s="387" t="s">
        <v>749</v>
      </c>
      <c r="G82" s="387" t="s">
        <v>82</v>
      </c>
      <c r="H82" s="387" t="s">
        <v>285</v>
      </c>
      <c r="I82" s="387" t="s">
        <v>46</v>
      </c>
      <c r="J82" s="389" t="s">
        <v>47</v>
      </c>
      <c r="K82" s="390">
        <v>46099</v>
      </c>
      <c r="L82" s="387" t="s">
        <v>750</v>
      </c>
      <c r="M82" s="387" t="s">
        <v>751</v>
      </c>
      <c r="N82" s="387" t="s">
        <v>752</v>
      </c>
      <c r="O82" s="387" t="s">
        <v>574</v>
      </c>
      <c r="P82" s="387" t="s">
        <v>574</v>
      </c>
      <c r="Q82" s="387" t="s">
        <v>87</v>
      </c>
      <c r="R82" s="387"/>
      <c r="S82" s="387" t="s">
        <v>55</v>
      </c>
      <c r="T82" s="387"/>
      <c r="U82" s="391"/>
      <c r="V82" s="387"/>
      <c r="W82" s="387"/>
      <c r="X82" s="387" t="s">
        <v>753</v>
      </c>
      <c r="Y82" s="387" t="s">
        <v>455</v>
      </c>
      <c r="Z82" s="387" t="s">
        <v>754</v>
      </c>
      <c r="AA82" s="387"/>
      <c r="AB82" s="387"/>
      <c r="AC82" s="387"/>
      <c r="AD82" s="389"/>
      <c r="AE82" s="41" t="s">
        <v>61</v>
      </c>
    </row>
    <row r="83" spans="1:39" ht="246" customHeight="1" x14ac:dyDescent="0.2">
      <c r="B83" s="167" t="s">
        <v>755</v>
      </c>
      <c r="C83" s="165" t="s">
        <v>756</v>
      </c>
      <c r="D83" s="393" t="s">
        <v>348</v>
      </c>
      <c r="E83" s="4" t="s">
        <v>757</v>
      </c>
      <c r="F83" s="4" t="s">
        <v>758</v>
      </c>
      <c r="G83" s="4" t="s">
        <v>82</v>
      </c>
      <c r="H83" s="4" t="s">
        <v>510</v>
      </c>
      <c r="I83" s="4" t="s">
        <v>46</v>
      </c>
      <c r="J83" s="33" t="s">
        <v>47</v>
      </c>
      <c r="K83" s="170">
        <v>46104</v>
      </c>
      <c r="L83" s="4" t="s">
        <v>759</v>
      </c>
      <c r="M83" s="4" t="s">
        <v>760</v>
      </c>
      <c r="N83" s="4" t="s">
        <v>761</v>
      </c>
      <c r="O83" s="4" t="s">
        <v>762</v>
      </c>
      <c r="P83" s="4" t="s">
        <v>574</v>
      </c>
      <c r="Q83" s="4"/>
      <c r="R83" s="4"/>
      <c r="S83" s="3" t="s">
        <v>302</v>
      </c>
      <c r="T83" s="4"/>
      <c r="U83" s="93"/>
      <c r="V83" s="4"/>
      <c r="W83" s="4"/>
      <c r="X83" s="4" t="s">
        <v>763</v>
      </c>
      <c r="Y83" s="4" t="s">
        <v>109</v>
      </c>
      <c r="Z83" s="4" t="s">
        <v>764</v>
      </c>
      <c r="AA83" s="4"/>
      <c r="AB83" s="4"/>
      <c r="AC83" s="4"/>
      <c r="AD83" s="33"/>
      <c r="AE83" s="41" t="s">
        <v>61</v>
      </c>
    </row>
    <row r="84" spans="1:39" ht="154.4" customHeight="1" x14ac:dyDescent="0.2">
      <c r="B84" s="408" t="s">
        <v>765</v>
      </c>
      <c r="C84" s="434" t="s">
        <v>766</v>
      </c>
      <c r="D84" s="434" t="s">
        <v>79</v>
      </c>
      <c r="E84" s="435" t="s">
        <v>767</v>
      </c>
      <c r="F84" s="435" t="s">
        <v>768</v>
      </c>
      <c r="G84" s="435" t="s">
        <v>44</v>
      </c>
      <c r="H84" s="435" t="s">
        <v>83</v>
      </c>
      <c r="I84" s="435" t="s">
        <v>769</v>
      </c>
      <c r="J84" s="436" t="s">
        <v>770</v>
      </c>
      <c r="K84" s="437">
        <v>46118</v>
      </c>
      <c r="L84" s="435" t="s">
        <v>771</v>
      </c>
      <c r="M84" s="435" t="s">
        <v>772</v>
      </c>
      <c r="N84" s="435"/>
      <c r="O84" s="435" t="s">
        <v>773</v>
      </c>
      <c r="P84" s="435"/>
      <c r="Q84" s="435"/>
      <c r="R84" s="435"/>
      <c r="S84" s="438" t="s">
        <v>774</v>
      </c>
      <c r="T84" s="435"/>
      <c r="U84" s="439"/>
      <c r="V84" s="435"/>
      <c r="W84" s="435"/>
      <c r="X84" s="435" t="s">
        <v>775</v>
      </c>
      <c r="Y84" s="435" t="s">
        <v>776</v>
      </c>
      <c r="Z84" s="435" t="s">
        <v>777</v>
      </c>
      <c r="AA84" s="435"/>
      <c r="AB84" s="435"/>
      <c r="AC84" s="435"/>
      <c r="AD84" s="436"/>
      <c r="AE84" s="41" t="s">
        <v>61</v>
      </c>
    </row>
    <row r="85" spans="1:39" ht="120" x14ac:dyDescent="0.2">
      <c r="B85" s="444" t="s">
        <v>778</v>
      </c>
      <c r="C85" s="398" t="s">
        <v>779</v>
      </c>
      <c r="D85" s="399" t="s">
        <v>139</v>
      </c>
      <c r="E85" s="400" t="s">
        <v>780</v>
      </c>
      <c r="F85" s="400" t="s">
        <v>781</v>
      </c>
      <c r="G85" s="400" t="s">
        <v>44</v>
      </c>
      <c r="H85" s="400" t="s">
        <v>83</v>
      </c>
      <c r="I85" s="400" t="s">
        <v>769</v>
      </c>
      <c r="J85" s="401" t="s">
        <v>770</v>
      </c>
      <c r="K85" s="402">
        <v>46115</v>
      </c>
      <c r="L85" s="400" t="s">
        <v>782</v>
      </c>
      <c r="M85" s="400" t="s">
        <v>783</v>
      </c>
      <c r="N85" s="400"/>
      <c r="O85" s="400" t="s">
        <v>784</v>
      </c>
      <c r="P85" s="400"/>
      <c r="Q85" s="400"/>
      <c r="R85" s="400"/>
      <c r="S85" s="416" t="s">
        <v>785</v>
      </c>
      <c r="T85" s="400"/>
      <c r="U85" s="403"/>
      <c r="V85" s="400"/>
      <c r="W85" s="400"/>
      <c r="X85" s="400" t="s">
        <v>786</v>
      </c>
      <c r="Y85" s="400" t="s">
        <v>787</v>
      </c>
      <c r="Z85" s="400" t="s">
        <v>788</v>
      </c>
      <c r="AA85" s="400"/>
      <c r="AB85" s="400"/>
      <c r="AC85" s="400"/>
      <c r="AD85" s="401"/>
      <c r="AE85" s="41" t="s">
        <v>61</v>
      </c>
    </row>
    <row r="86" spans="1:39" ht="120" x14ac:dyDescent="0.2">
      <c r="B86" s="444" t="s">
        <v>789</v>
      </c>
      <c r="C86" s="398" t="s">
        <v>790</v>
      </c>
      <c r="D86" s="399" t="s">
        <v>139</v>
      </c>
      <c r="E86" s="400" t="s">
        <v>791</v>
      </c>
      <c r="F86" s="400" t="s">
        <v>781</v>
      </c>
      <c r="G86" s="400" t="s">
        <v>44</v>
      </c>
      <c r="H86" s="400" t="s">
        <v>83</v>
      </c>
      <c r="I86" s="400" t="s">
        <v>769</v>
      </c>
      <c r="J86" s="401" t="s">
        <v>770</v>
      </c>
      <c r="K86" s="402">
        <v>46115</v>
      </c>
      <c r="L86" s="400" t="s">
        <v>792</v>
      </c>
      <c r="M86" s="400" t="s">
        <v>793</v>
      </c>
      <c r="N86" s="400"/>
      <c r="O86" s="400" t="s">
        <v>784</v>
      </c>
      <c r="P86" s="400"/>
      <c r="Q86" s="400"/>
      <c r="R86" s="400"/>
      <c r="S86" s="416" t="s">
        <v>785</v>
      </c>
      <c r="T86" s="400"/>
      <c r="U86" s="403"/>
      <c r="V86" s="400"/>
      <c r="W86" s="400"/>
      <c r="X86" s="400" t="s">
        <v>794</v>
      </c>
      <c r="Y86" s="400" t="s">
        <v>795</v>
      </c>
      <c r="Z86" s="400" t="s">
        <v>796</v>
      </c>
      <c r="AA86" s="400"/>
      <c r="AB86" s="400"/>
      <c r="AC86" s="400"/>
      <c r="AD86" s="401"/>
      <c r="AE86" s="41" t="s">
        <v>61</v>
      </c>
    </row>
    <row r="87" spans="1:39" ht="165" x14ac:dyDescent="0.2">
      <c r="B87" s="444" t="s">
        <v>797</v>
      </c>
      <c r="C87" s="398" t="s">
        <v>798</v>
      </c>
      <c r="D87" s="399" t="s">
        <v>139</v>
      </c>
      <c r="E87" s="400" t="s">
        <v>799</v>
      </c>
      <c r="F87" s="400" t="s">
        <v>781</v>
      </c>
      <c r="G87" s="400" t="s">
        <v>44</v>
      </c>
      <c r="H87" s="400" t="s">
        <v>83</v>
      </c>
      <c r="I87" s="400" t="s">
        <v>769</v>
      </c>
      <c r="J87" s="401" t="s">
        <v>770</v>
      </c>
      <c r="K87" s="402">
        <v>46115</v>
      </c>
      <c r="L87" s="400" t="s">
        <v>800</v>
      </c>
      <c r="M87" s="400" t="s">
        <v>801</v>
      </c>
      <c r="N87" s="400"/>
      <c r="O87" s="400" t="s">
        <v>784</v>
      </c>
      <c r="P87" s="400"/>
      <c r="Q87" s="400"/>
      <c r="R87" s="400"/>
      <c r="S87" s="416" t="s">
        <v>785</v>
      </c>
      <c r="T87" s="400"/>
      <c r="U87" s="403"/>
      <c r="V87" s="400"/>
      <c r="W87" s="400"/>
      <c r="X87" s="400" t="s">
        <v>802</v>
      </c>
      <c r="Y87" s="400" t="s">
        <v>787</v>
      </c>
      <c r="Z87" s="400" t="s">
        <v>803</v>
      </c>
      <c r="AA87" s="400"/>
      <c r="AB87" s="400"/>
      <c r="AC87" s="400"/>
      <c r="AD87" s="401"/>
      <c r="AE87" s="41" t="s">
        <v>61</v>
      </c>
    </row>
    <row r="88" spans="1:39" ht="193.4" customHeight="1" x14ac:dyDescent="0.2">
      <c r="B88" s="445" t="s">
        <v>804</v>
      </c>
      <c r="C88" s="399" t="s">
        <v>805</v>
      </c>
      <c r="D88" s="399" t="s">
        <v>436</v>
      </c>
      <c r="E88" s="404" t="s">
        <v>806</v>
      </c>
      <c r="F88" s="400" t="s">
        <v>807</v>
      </c>
      <c r="G88" s="404" t="s">
        <v>97</v>
      </c>
      <c r="H88" s="404" t="s">
        <v>285</v>
      </c>
      <c r="I88" s="404" t="s">
        <v>46</v>
      </c>
      <c r="J88" s="405" t="s">
        <v>47</v>
      </c>
      <c r="K88" s="406">
        <v>46120</v>
      </c>
      <c r="L88" s="404" t="s">
        <v>808</v>
      </c>
      <c r="M88" s="404"/>
      <c r="N88" s="404"/>
      <c r="O88" s="404"/>
      <c r="P88" s="404"/>
      <c r="Q88" s="404"/>
      <c r="R88" s="404"/>
      <c r="S88" s="404"/>
      <c r="T88" s="404" t="s">
        <v>55</v>
      </c>
      <c r="U88" s="407"/>
      <c r="V88" s="404"/>
      <c r="W88" s="4" t="s">
        <v>179</v>
      </c>
      <c r="X88" s="404" t="s">
        <v>809</v>
      </c>
      <c r="Y88" s="404" t="s">
        <v>795</v>
      </c>
      <c r="Z88" s="404" t="s">
        <v>810</v>
      </c>
      <c r="AA88" s="404"/>
      <c r="AB88" s="404"/>
      <c r="AC88" s="404"/>
      <c r="AD88" s="405"/>
      <c r="AE88" s="41" t="s">
        <v>61</v>
      </c>
    </row>
    <row r="89" spans="1:39" ht="409.6" customHeight="1" x14ac:dyDescent="0.2">
      <c r="B89" s="445" t="s">
        <v>811</v>
      </c>
      <c r="C89" s="399" t="s">
        <v>812</v>
      </c>
      <c r="D89" s="399" t="s">
        <v>813</v>
      </c>
      <c r="E89" s="404" t="s">
        <v>814</v>
      </c>
      <c r="F89" s="400" t="s">
        <v>815</v>
      </c>
      <c r="G89" s="404" t="s">
        <v>82</v>
      </c>
      <c r="H89" s="404" t="s">
        <v>510</v>
      </c>
      <c r="I89" s="404" t="s">
        <v>260</v>
      </c>
      <c r="J89" s="405" t="s">
        <v>698</v>
      </c>
      <c r="K89" s="406">
        <v>46121</v>
      </c>
      <c r="L89" s="404" t="s">
        <v>816</v>
      </c>
      <c r="M89" s="404" t="s">
        <v>817</v>
      </c>
      <c r="N89" s="404"/>
      <c r="O89" s="404" t="s">
        <v>818</v>
      </c>
      <c r="P89" s="404"/>
      <c r="Q89" s="404"/>
      <c r="R89" s="404"/>
      <c r="S89" s="455" t="s">
        <v>55</v>
      </c>
      <c r="T89" s="100" t="s">
        <v>55</v>
      </c>
      <c r="U89" s="407"/>
      <c r="V89" s="404"/>
      <c r="W89" s="404" t="s">
        <v>819</v>
      </c>
      <c r="X89" s="404" t="s">
        <v>820</v>
      </c>
      <c r="Y89" s="404" t="s">
        <v>265</v>
      </c>
      <c r="Z89" s="404" t="s">
        <v>821</v>
      </c>
      <c r="AA89" s="404"/>
      <c r="AB89" s="404"/>
      <c r="AC89" s="404"/>
      <c r="AD89" s="405"/>
      <c r="AE89" s="41" t="s">
        <v>61</v>
      </c>
    </row>
    <row r="90" spans="1:39" ht="285" x14ac:dyDescent="0.2">
      <c r="A90" s="376"/>
      <c r="B90" s="408" t="s">
        <v>822</v>
      </c>
      <c r="C90" s="408" t="s">
        <v>823</v>
      </c>
      <c r="D90" s="409" t="s">
        <v>407</v>
      </c>
      <c r="E90" s="409" t="s">
        <v>824</v>
      </c>
      <c r="F90" s="409" t="s">
        <v>825</v>
      </c>
      <c r="G90" s="409" t="s">
        <v>82</v>
      </c>
      <c r="H90" s="409" t="s">
        <v>161</v>
      </c>
      <c r="I90" s="409" t="s">
        <v>162</v>
      </c>
      <c r="J90" s="410" t="s">
        <v>826</v>
      </c>
      <c r="K90" s="411">
        <v>46142</v>
      </c>
      <c r="L90" s="409" t="s">
        <v>827</v>
      </c>
      <c r="M90" s="409" t="s">
        <v>828</v>
      </c>
      <c r="N90" s="409" t="s">
        <v>829</v>
      </c>
      <c r="O90" s="409" t="s">
        <v>830</v>
      </c>
      <c r="P90" s="409"/>
      <c r="Q90" s="409"/>
      <c r="R90" s="409"/>
      <c r="S90" s="409" t="s">
        <v>831</v>
      </c>
      <c r="T90" s="409" t="s">
        <v>55</v>
      </c>
      <c r="U90" s="412"/>
      <c r="V90" s="409"/>
      <c r="W90" s="409"/>
      <c r="X90" s="409" t="s">
        <v>832</v>
      </c>
      <c r="Y90" s="409" t="s">
        <v>58</v>
      </c>
      <c r="Z90" s="409" t="s">
        <v>833</v>
      </c>
      <c r="AA90" s="409"/>
      <c r="AB90" s="409" t="s">
        <v>834</v>
      </c>
      <c r="AC90" s="409"/>
      <c r="AD90" s="410"/>
      <c r="AE90" s="41" t="s">
        <v>61</v>
      </c>
      <c r="AF90" s="376"/>
      <c r="AG90" s="376"/>
      <c r="AH90" s="376"/>
      <c r="AI90" s="376"/>
      <c r="AJ90" s="376"/>
      <c r="AK90" s="376"/>
      <c r="AL90" s="376"/>
      <c r="AM90" s="376"/>
    </row>
    <row r="91" spans="1:39" ht="255" x14ac:dyDescent="0.2">
      <c r="B91" s="164" t="s">
        <v>835</v>
      </c>
      <c r="C91" s="164" t="s">
        <v>836</v>
      </c>
      <c r="D91" s="100" t="s">
        <v>325</v>
      </c>
      <c r="E91" s="100" t="s">
        <v>837</v>
      </c>
      <c r="F91" s="100" t="s">
        <v>838</v>
      </c>
      <c r="G91" s="100" t="s">
        <v>82</v>
      </c>
      <c r="H91" s="100" t="s">
        <v>45</v>
      </c>
      <c r="I91" s="100" t="s">
        <v>46</v>
      </c>
      <c r="J91" s="237" t="s">
        <v>839</v>
      </c>
      <c r="K91" s="395">
        <v>46168</v>
      </c>
      <c r="L91" s="100" t="s">
        <v>840</v>
      </c>
      <c r="M91" s="100" t="s">
        <v>841</v>
      </c>
      <c r="N91" s="100" t="s">
        <v>842</v>
      </c>
      <c r="O91" s="100" t="s">
        <v>843</v>
      </c>
      <c r="P91" s="100" t="s">
        <v>844</v>
      </c>
      <c r="Q91" s="100" t="s">
        <v>73</v>
      </c>
      <c r="R91" s="100" t="s">
        <v>197</v>
      </c>
      <c r="S91" s="100" t="s">
        <v>302</v>
      </c>
      <c r="T91" s="100"/>
      <c r="U91" s="396"/>
      <c r="V91" s="100"/>
      <c r="W91" s="100"/>
      <c r="X91" s="100" t="s">
        <v>845</v>
      </c>
      <c r="Y91" s="100" t="s">
        <v>58</v>
      </c>
      <c r="Z91" s="100" t="s">
        <v>846</v>
      </c>
      <c r="AA91" s="100" t="s">
        <v>842</v>
      </c>
      <c r="AB91" s="100" t="s">
        <v>842</v>
      </c>
      <c r="AC91" s="100"/>
      <c r="AD91" s="237"/>
      <c r="AE91" s="41" t="s">
        <v>61</v>
      </c>
      <c r="AF91" s="376"/>
      <c r="AG91" s="376"/>
      <c r="AH91" s="376"/>
      <c r="AI91" s="376"/>
      <c r="AJ91" s="376"/>
      <c r="AK91" s="376"/>
      <c r="AL91" s="376"/>
      <c r="AM91" s="376"/>
    </row>
    <row r="92" spans="1:39" ht="136.4" customHeight="1" x14ac:dyDescent="0.2">
      <c r="A92" s="376"/>
      <c r="B92" s="164" t="s">
        <v>847</v>
      </c>
      <c r="C92" s="164" t="s">
        <v>848</v>
      </c>
      <c r="D92" s="423" t="s">
        <v>849</v>
      </c>
      <c r="E92" s="423" t="s">
        <v>850</v>
      </c>
      <c r="F92" s="423" t="s">
        <v>851</v>
      </c>
      <c r="G92" s="423" t="s">
        <v>44</v>
      </c>
      <c r="H92" s="423" t="s">
        <v>83</v>
      </c>
      <c r="I92" s="423" t="s">
        <v>769</v>
      </c>
      <c r="J92" s="423" t="s">
        <v>852</v>
      </c>
      <c r="K92" s="424">
        <v>46171</v>
      </c>
      <c r="L92" s="423" t="s">
        <v>853</v>
      </c>
      <c r="M92" s="423" t="s">
        <v>854</v>
      </c>
      <c r="N92" s="423" t="s">
        <v>855</v>
      </c>
      <c r="O92" s="423" t="s">
        <v>856</v>
      </c>
      <c r="P92" s="423" t="s">
        <v>857</v>
      </c>
      <c r="Q92" s="423" t="s">
        <v>858</v>
      </c>
      <c r="R92" s="423" t="s">
        <v>54</v>
      </c>
      <c r="S92" s="423" t="s">
        <v>452</v>
      </c>
      <c r="T92" s="423" t="s">
        <v>55</v>
      </c>
      <c r="U92" s="425" t="s">
        <v>54</v>
      </c>
      <c r="V92" s="423" t="s">
        <v>54</v>
      </c>
      <c r="W92" s="423" t="s">
        <v>54</v>
      </c>
      <c r="X92" s="423" t="s">
        <v>859</v>
      </c>
      <c r="Y92" s="423" t="s">
        <v>860</v>
      </c>
      <c r="Z92" s="423" t="s">
        <v>861</v>
      </c>
      <c r="AA92" s="423" t="s">
        <v>54</v>
      </c>
      <c r="AB92" s="423" t="s">
        <v>54</v>
      </c>
      <c r="AC92" s="423" t="s">
        <v>54</v>
      </c>
      <c r="AD92" s="423" t="s">
        <v>54</v>
      </c>
      <c r="AE92" s="41" t="s">
        <v>61</v>
      </c>
      <c r="AF92" s="376"/>
      <c r="AG92" s="376"/>
      <c r="AH92" s="376"/>
      <c r="AI92" s="376"/>
      <c r="AJ92" s="376"/>
      <c r="AK92" s="376"/>
      <c r="AL92" s="376"/>
      <c r="AM92" s="376"/>
    </row>
    <row r="93" spans="1:39" ht="120" x14ac:dyDescent="0.2">
      <c r="A93" s="376"/>
      <c r="B93" s="164" t="s">
        <v>862</v>
      </c>
      <c r="C93" s="164" t="s">
        <v>863</v>
      </c>
      <c r="D93" s="413" t="s">
        <v>348</v>
      </c>
      <c r="E93" s="413" t="s">
        <v>2675</v>
      </c>
      <c r="F93" s="413" t="s">
        <v>864</v>
      </c>
      <c r="G93" s="413" t="s">
        <v>486</v>
      </c>
      <c r="H93" s="413" t="s">
        <v>285</v>
      </c>
      <c r="I93" s="413" t="s">
        <v>297</v>
      </c>
      <c r="J93" s="413" t="s">
        <v>47</v>
      </c>
      <c r="K93" s="414">
        <v>46174</v>
      </c>
      <c r="L93" s="413" t="s">
        <v>865</v>
      </c>
      <c r="M93" s="100" t="s">
        <v>866</v>
      </c>
      <c r="N93" s="413" t="s">
        <v>135</v>
      </c>
      <c r="O93" s="413" t="s">
        <v>867</v>
      </c>
      <c r="P93" s="413" t="s">
        <v>868</v>
      </c>
      <c r="Q93" s="413" t="s">
        <v>858</v>
      </c>
      <c r="R93" s="413"/>
      <c r="S93" s="413" t="s">
        <v>452</v>
      </c>
      <c r="T93" s="413"/>
      <c r="U93" s="415"/>
      <c r="V93" s="413"/>
      <c r="W93" s="413"/>
      <c r="X93" s="413" t="s">
        <v>278</v>
      </c>
      <c r="Y93" s="413" t="s">
        <v>869</v>
      </c>
      <c r="Z93" s="413" t="s">
        <v>870</v>
      </c>
      <c r="AA93" s="413"/>
      <c r="AB93" s="413"/>
      <c r="AC93" s="413"/>
      <c r="AD93" s="413"/>
      <c r="AE93" s="41" t="s">
        <v>61</v>
      </c>
      <c r="AF93" s="376"/>
      <c r="AG93" s="376"/>
      <c r="AH93" s="376"/>
      <c r="AI93" s="376"/>
      <c r="AJ93" s="376"/>
      <c r="AK93" s="376"/>
      <c r="AL93" s="376"/>
      <c r="AM93" s="376"/>
    </row>
    <row r="94" spans="1:39" ht="210" x14ac:dyDescent="0.2">
      <c r="A94" s="376"/>
      <c r="B94" s="164" t="s">
        <v>871</v>
      </c>
      <c r="C94" s="164" t="s">
        <v>872</v>
      </c>
      <c r="D94" s="413" t="s">
        <v>660</v>
      </c>
      <c r="E94" s="413" t="s">
        <v>873</v>
      </c>
      <c r="F94" s="413" t="s">
        <v>874</v>
      </c>
      <c r="G94" s="413" t="s">
        <v>44</v>
      </c>
      <c r="H94" s="413" t="s">
        <v>285</v>
      </c>
      <c r="I94" s="413" t="s">
        <v>297</v>
      </c>
      <c r="J94" s="413" t="s">
        <v>47</v>
      </c>
      <c r="K94" s="414">
        <v>46183</v>
      </c>
      <c r="L94" s="413" t="s">
        <v>875</v>
      </c>
      <c r="M94" s="417" t="s">
        <v>876</v>
      </c>
      <c r="N94" s="413" t="s">
        <v>877</v>
      </c>
      <c r="O94" s="413" t="s">
        <v>135</v>
      </c>
      <c r="P94" s="413" t="s">
        <v>574</v>
      </c>
      <c r="Q94" s="413" t="s">
        <v>858</v>
      </c>
      <c r="R94" s="413"/>
      <c r="S94" s="413" t="s">
        <v>595</v>
      </c>
      <c r="T94" s="413"/>
      <c r="U94" s="415"/>
      <c r="V94" s="413"/>
      <c r="W94" s="413"/>
      <c r="X94" s="413" t="s">
        <v>414</v>
      </c>
      <c r="Y94" s="413" t="s">
        <v>109</v>
      </c>
      <c r="Z94" s="413" t="s">
        <v>878</v>
      </c>
      <c r="AA94" s="413"/>
      <c r="AB94" s="413"/>
      <c r="AC94" s="413"/>
      <c r="AD94" s="413"/>
      <c r="AE94" s="41" t="s">
        <v>61</v>
      </c>
      <c r="AF94" s="376"/>
      <c r="AG94" s="376"/>
      <c r="AH94" s="376"/>
      <c r="AI94" s="376"/>
      <c r="AJ94" s="376"/>
      <c r="AK94" s="376"/>
      <c r="AL94" s="376"/>
      <c r="AM94" s="376"/>
    </row>
    <row r="95" spans="1:39" ht="285" x14ac:dyDescent="0.2">
      <c r="A95" s="376"/>
      <c r="B95" s="164" t="s">
        <v>879</v>
      </c>
      <c r="C95" s="164" t="s">
        <v>880</v>
      </c>
      <c r="D95" s="413" t="s">
        <v>881</v>
      </c>
      <c r="E95" s="413" t="s">
        <v>882</v>
      </c>
      <c r="F95" s="413" t="s">
        <v>883</v>
      </c>
      <c r="G95" s="413" t="s">
        <v>44</v>
      </c>
      <c r="H95" s="413" t="s">
        <v>285</v>
      </c>
      <c r="I95" s="413" t="s">
        <v>297</v>
      </c>
      <c r="J95" s="413" t="s">
        <v>47</v>
      </c>
      <c r="K95" s="414">
        <v>46183</v>
      </c>
      <c r="L95" s="413" t="s">
        <v>884</v>
      </c>
      <c r="M95" s="417" t="s">
        <v>885</v>
      </c>
      <c r="N95" s="413" t="s">
        <v>886</v>
      </c>
      <c r="O95" s="413" t="s">
        <v>135</v>
      </c>
      <c r="P95" s="413" t="s">
        <v>574</v>
      </c>
      <c r="Q95" s="413" t="s">
        <v>887</v>
      </c>
      <c r="R95" s="413"/>
      <c r="S95" s="430" t="s">
        <v>595</v>
      </c>
      <c r="T95" s="413"/>
      <c r="U95" s="415"/>
      <c r="V95" s="413"/>
      <c r="W95" s="413"/>
      <c r="X95" s="413" t="s">
        <v>414</v>
      </c>
      <c r="Y95" s="413" t="s">
        <v>109</v>
      </c>
      <c r="Z95" s="413" t="s">
        <v>888</v>
      </c>
      <c r="AA95" s="413"/>
      <c r="AB95" s="413"/>
      <c r="AC95" s="413"/>
      <c r="AD95" s="413"/>
      <c r="AE95" s="41" t="s">
        <v>61</v>
      </c>
      <c r="AF95" s="376"/>
      <c r="AG95" s="376"/>
      <c r="AH95" s="376"/>
      <c r="AI95" s="376"/>
      <c r="AJ95" s="376"/>
      <c r="AK95" s="376"/>
      <c r="AL95" s="376"/>
      <c r="AM95" s="376"/>
    </row>
    <row r="96" spans="1:39" ht="210" x14ac:dyDescent="0.2">
      <c r="A96" s="376"/>
      <c r="B96" s="164" t="s">
        <v>889</v>
      </c>
      <c r="C96" s="164" t="s">
        <v>890</v>
      </c>
      <c r="D96" s="413" t="s">
        <v>881</v>
      </c>
      <c r="E96" s="413" t="s">
        <v>891</v>
      </c>
      <c r="F96" s="413" t="s">
        <v>892</v>
      </c>
      <c r="G96" s="413" t="s">
        <v>44</v>
      </c>
      <c r="H96" s="413" t="s">
        <v>285</v>
      </c>
      <c r="I96" s="413" t="s">
        <v>297</v>
      </c>
      <c r="J96" s="413" t="s">
        <v>47</v>
      </c>
      <c r="K96" s="414">
        <v>46183</v>
      </c>
      <c r="L96" s="413" t="s">
        <v>893</v>
      </c>
      <c r="M96" s="417" t="s">
        <v>894</v>
      </c>
      <c r="N96" s="413" t="s">
        <v>895</v>
      </c>
      <c r="O96" s="413" t="s">
        <v>135</v>
      </c>
      <c r="P96" s="413" t="s">
        <v>574</v>
      </c>
      <c r="Q96" s="413" t="s">
        <v>887</v>
      </c>
      <c r="R96" s="413"/>
      <c r="S96" s="413" t="s">
        <v>896</v>
      </c>
      <c r="T96" s="413"/>
      <c r="U96" s="415"/>
      <c r="V96" s="413"/>
      <c r="W96" s="413"/>
      <c r="X96" s="413" t="s">
        <v>414</v>
      </c>
      <c r="Y96" s="413" t="s">
        <v>109</v>
      </c>
      <c r="Z96" s="413" t="s">
        <v>897</v>
      </c>
      <c r="AA96" s="413"/>
      <c r="AB96" s="413"/>
      <c r="AC96" s="413"/>
      <c r="AD96" s="413"/>
      <c r="AE96" s="41" t="s">
        <v>61</v>
      </c>
      <c r="AF96" s="376"/>
      <c r="AG96" s="126" t="s">
        <v>898</v>
      </c>
      <c r="AH96" s="376"/>
      <c r="AI96" s="376"/>
      <c r="AJ96" s="376"/>
      <c r="AK96" s="376"/>
      <c r="AL96" s="376"/>
      <c r="AM96" s="376"/>
    </row>
    <row r="97" spans="1:39" ht="409.5" x14ac:dyDescent="0.2">
      <c r="A97" s="376"/>
      <c r="B97" s="164" t="s">
        <v>899</v>
      </c>
      <c r="C97" s="164" t="s">
        <v>900</v>
      </c>
      <c r="D97" s="413" t="s">
        <v>307</v>
      </c>
      <c r="E97" s="413" t="s">
        <v>901</v>
      </c>
      <c r="F97" s="413" t="s">
        <v>902</v>
      </c>
      <c r="G97" s="413" t="s">
        <v>82</v>
      </c>
      <c r="H97" s="413" t="s">
        <v>285</v>
      </c>
      <c r="I97" s="413" t="s">
        <v>297</v>
      </c>
      <c r="J97" s="413" t="s">
        <v>698</v>
      </c>
      <c r="K97" s="414">
        <v>46192</v>
      </c>
      <c r="L97" s="413" t="s">
        <v>903</v>
      </c>
      <c r="M97" s="417" t="s">
        <v>904</v>
      </c>
      <c r="N97" s="413" t="s">
        <v>905</v>
      </c>
      <c r="O97" s="413" t="s">
        <v>135</v>
      </c>
      <c r="P97" s="413" t="s">
        <v>574</v>
      </c>
      <c r="Q97" s="413" t="s">
        <v>887</v>
      </c>
      <c r="R97" s="413"/>
      <c r="S97" s="413" t="s">
        <v>831</v>
      </c>
      <c r="T97" s="413"/>
      <c r="U97" s="415"/>
      <c r="V97" s="413"/>
      <c r="W97" s="413"/>
      <c r="X97" s="413" t="s">
        <v>906</v>
      </c>
      <c r="Y97" s="413" t="s">
        <v>907</v>
      </c>
      <c r="Z97" s="413" t="s">
        <v>2678</v>
      </c>
      <c r="AA97" s="413"/>
      <c r="AB97" s="413"/>
      <c r="AC97" s="413"/>
      <c r="AD97" s="413"/>
      <c r="AE97" s="41" t="s">
        <v>61</v>
      </c>
      <c r="AF97" s="376"/>
      <c r="AG97" s="376"/>
      <c r="AH97" s="376"/>
      <c r="AI97" s="376"/>
      <c r="AJ97" s="376"/>
      <c r="AK97" s="376"/>
      <c r="AL97" s="376"/>
      <c r="AM97" s="376"/>
    </row>
    <row r="98" spans="1:39" ht="165" x14ac:dyDescent="0.2">
      <c r="A98" s="376"/>
      <c r="B98" s="164" t="s">
        <v>908</v>
      </c>
      <c r="C98" s="164" t="s">
        <v>909</v>
      </c>
      <c r="D98" s="413" t="s">
        <v>407</v>
      </c>
      <c r="E98" s="413" t="s">
        <v>910</v>
      </c>
      <c r="F98" s="413" t="s">
        <v>911</v>
      </c>
      <c r="G98" s="413" t="s">
        <v>912</v>
      </c>
      <c r="H98" s="422" t="s">
        <v>285</v>
      </c>
      <c r="I98" s="413" t="s">
        <v>297</v>
      </c>
      <c r="J98" s="413" t="s">
        <v>698</v>
      </c>
      <c r="K98" s="414">
        <v>46192</v>
      </c>
      <c r="L98" s="413" t="s">
        <v>913</v>
      </c>
      <c r="M98" s="417" t="s">
        <v>914</v>
      </c>
      <c r="N98" s="413" t="s">
        <v>915</v>
      </c>
      <c r="O98" s="413" t="s">
        <v>490</v>
      </c>
      <c r="P98" s="413" t="s">
        <v>574</v>
      </c>
      <c r="Q98" s="413" t="s">
        <v>887</v>
      </c>
      <c r="R98" s="413"/>
      <c r="S98" s="413" t="s">
        <v>831</v>
      </c>
      <c r="T98" s="413"/>
      <c r="U98" s="415"/>
      <c r="V98" s="413"/>
      <c r="W98" s="413"/>
      <c r="X98" s="413" t="s">
        <v>423</v>
      </c>
      <c r="Y98" s="413" t="s">
        <v>58</v>
      </c>
      <c r="Z98" s="413" t="s">
        <v>916</v>
      </c>
      <c r="AA98" s="413"/>
      <c r="AB98" s="413"/>
      <c r="AC98" s="413"/>
      <c r="AD98" s="413"/>
      <c r="AE98" s="41" t="s">
        <v>61</v>
      </c>
      <c r="AF98" s="376"/>
      <c r="AG98" s="376"/>
      <c r="AH98" s="376"/>
      <c r="AI98" s="376"/>
      <c r="AJ98" s="376"/>
      <c r="AK98" s="376"/>
      <c r="AL98" s="376"/>
      <c r="AM98" s="376"/>
    </row>
    <row r="99" spans="1:39" ht="150" customHeight="1" x14ac:dyDescent="0.2">
      <c r="A99" s="376"/>
      <c r="B99" s="164" t="s">
        <v>917</v>
      </c>
      <c r="C99" s="164" t="s">
        <v>918</v>
      </c>
      <c r="D99" s="413" t="s">
        <v>307</v>
      </c>
      <c r="E99" s="413" t="s">
        <v>919</v>
      </c>
      <c r="F99" s="413" t="s">
        <v>920</v>
      </c>
      <c r="G99" s="413" t="s">
        <v>486</v>
      </c>
      <c r="H99" s="413" t="s">
        <v>285</v>
      </c>
      <c r="I99" s="413" t="s">
        <v>297</v>
      </c>
      <c r="J99" s="413" t="s">
        <v>698</v>
      </c>
      <c r="K99" s="414">
        <v>46188</v>
      </c>
      <c r="L99" s="413" t="s">
        <v>921</v>
      </c>
      <c r="M99" s="413" t="s">
        <v>922</v>
      </c>
      <c r="N99" s="413" t="s">
        <v>923</v>
      </c>
      <c r="O99" s="413" t="s">
        <v>490</v>
      </c>
      <c r="P99" s="413" t="s">
        <v>574</v>
      </c>
      <c r="Q99" s="413" t="s">
        <v>887</v>
      </c>
      <c r="R99" s="413"/>
      <c r="S99" s="413" t="s">
        <v>831</v>
      </c>
      <c r="T99" s="413"/>
      <c r="U99" s="415"/>
      <c r="V99" s="413"/>
      <c r="W99" s="413"/>
      <c r="X99" s="413" t="s">
        <v>924</v>
      </c>
      <c r="Y99" s="413" t="s">
        <v>925</v>
      </c>
      <c r="Z99" s="413" t="s">
        <v>926</v>
      </c>
      <c r="AA99" s="413"/>
      <c r="AB99" s="413"/>
      <c r="AC99" s="413"/>
      <c r="AD99" s="413"/>
      <c r="AE99" s="41" t="s">
        <v>61</v>
      </c>
      <c r="AF99" s="376"/>
      <c r="AG99" s="376"/>
      <c r="AH99" s="376"/>
      <c r="AI99" s="376"/>
      <c r="AJ99" s="376"/>
      <c r="AK99" s="376"/>
      <c r="AL99" s="376"/>
      <c r="AM99" s="376"/>
    </row>
    <row r="100" spans="1:39" ht="150" customHeight="1" x14ac:dyDescent="0.2">
      <c r="A100" s="376"/>
      <c r="B100" s="164" t="s">
        <v>927</v>
      </c>
      <c r="C100" s="164" t="s">
        <v>928</v>
      </c>
      <c r="D100" s="4" t="s">
        <v>64</v>
      </c>
      <c r="E100" s="413" t="s">
        <v>929</v>
      </c>
      <c r="F100" s="413" t="s">
        <v>930</v>
      </c>
      <c r="G100" s="413" t="s">
        <v>82</v>
      </c>
      <c r="H100" s="413" t="s">
        <v>161</v>
      </c>
      <c r="I100" s="413" t="s">
        <v>162</v>
      </c>
      <c r="J100" s="413" t="s">
        <v>931</v>
      </c>
      <c r="K100" s="414">
        <v>46191</v>
      </c>
      <c r="L100" s="413" t="s">
        <v>932</v>
      </c>
      <c r="M100" s="413" t="s">
        <v>933</v>
      </c>
      <c r="N100" s="413"/>
      <c r="O100" s="413"/>
      <c r="P100" s="413"/>
      <c r="Q100" s="413" t="s">
        <v>123</v>
      </c>
      <c r="R100" s="413"/>
      <c r="S100" s="430" t="s">
        <v>934</v>
      </c>
      <c r="T100" s="413"/>
      <c r="U100" s="415"/>
      <c r="V100" s="413"/>
      <c r="W100" s="413"/>
      <c r="X100" s="413" t="s">
        <v>935</v>
      </c>
      <c r="Y100" s="413" t="s">
        <v>109</v>
      </c>
      <c r="Z100" s="413" t="s">
        <v>936</v>
      </c>
      <c r="AA100" s="413"/>
      <c r="AB100" s="413"/>
      <c r="AC100" s="413"/>
      <c r="AD100" s="413"/>
      <c r="AE100" s="41" t="s">
        <v>61</v>
      </c>
      <c r="AF100" s="376"/>
      <c r="AG100" s="376"/>
      <c r="AH100" s="376"/>
      <c r="AI100" s="376"/>
      <c r="AJ100" s="376"/>
      <c r="AK100" s="376"/>
      <c r="AL100" s="376"/>
      <c r="AM100" s="376"/>
    </row>
    <row r="101" spans="1:39" ht="131.25" customHeight="1" x14ac:dyDescent="0.2">
      <c r="A101" s="376"/>
      <c r="B101" s="164" t="s">
        <v>937</v>
      </c>
      <c r="C101" s="164" t="s">
        <v>938</v>
      </c>
      <c r="D101" s="4" t="s">
        <v>939</v>
      </c>
      <c r="E101" s="413" t="s">
        <v>940</v>
      </c>
      <c r="F101" s="413" t="s">
        <v>941</v>
      </c>
      <c r="G101" s="413" t="s">
        <v>82</v>
      </c>
      <c r="H101" s="413" t="s">
        <v>285</v>
      </c>
      <c r="I101" s="413" t="s">
        <v>297</v>
      </c>
      <c r="J101" s="413" t="s">
        <v>47</v>
      </c>
      <c r="K101" s="414">
        <v>46192</v>
      </c>
      <c r="L101" s="413" t="s">
        <v>942</v>
      </c>
      <c r="M101" s="413" t="s">
        <v>2679</v>
      </c>
      <c r="N101" s="413" t="s">
        <v>943</v>
      </c>
      <c r="O101" s="413" t="s">
        <v>135</v>
      </c>
      <c r="P101" s="413" t="s">
        <v>574</v>
      </c>
      <c r="Q101" s="413" t="s">
        <v>887</v>
      </c>
      <c r="R101" s="413"/>
      <c r="S101" s="430" t="s">
        <v>944</v>
      </c>
      <c r="T101" s="413"/>
      <c r="U101" s="415"/>
      <c r="V101" s="413"/>
      <c r="W101" s="413"/>
      <c r="X101" s="413" t="s">
        <v>414</v>
      </c>
      <c r="Y101" s="413" t="s">
        <v>109</v>
      </c>
      <c r="Z101" s="413" t="s">
        <v>945</v>
      </c>
      <c r="AA101" s="413"/>
      <c r="AB101" s="413"/>
      <c r="AC101" s="413"/>
      <c r="AD101" s="413"/>
      <c r="AE101" s="41" t="s">
        <v>61</v>
      </c>
      <c r="AF101" s="376"/>
      <c r="AG101" s="376"/>
      <c r="AH101" s="376"/>
      <c r="AI101" s="376"/>
      <c r="AJ101" s="376"/>
      <c r="AK101" s="376"/>
      <c r="AL101" s="376"/>
      <c r="AM101" s="376"/>
    </row>
    <row r="102" spans="1:39" ht="255" customHeight="1" x14ac:dyDescent="0.2">
      <c r="A102" s="376"/>
      <c r="B102" s="164" t="s">
        <v>946</v>
      </c>
      <c r="C102" s="164" t="s">
        <v>947</v>
      </c>
      <c r="D102" s="446" t="s">
        <v>407</v>
      </c>
      <c r="E102" s="413" t="s">
        <v>948</v>
      </c>
      <c r="F102" s="430" t="s">
        <v>949</v>
      </c>
      <c r="G102" s="413" t="s">
        <v>82</v>
      </c>
      <c r="H102" s="413" t="s">
        <v>510</v>
      </c>
      <c r="I102" s="413" t="s">
        <v>297</v>
      </c>
      <c r="J102" s="413" t="s">
        <v>698</v>
      </c>
      <c r="K102" s="414">
        <v>46219</v>
      </c>
      <c r="L102" s="413" t="s">
        <v>950</v>
      </c>
      <c r="M102" s="413" t="s">
        <v>951</v>
      </c>
      <c r="N102" s="413" t="s">
        <v>952</v>
      </c>
      <c r="O102" s="413" t="s">
        <v>135</v>
      </c>
      <c r="P102" s="413" t="s">
        <v>574</v>
      </c>
      <c r="Q102" s="413" t="s">
        <v>887</v>
      </c>
      <c r="R102" s="413"/>
      <c r="S102" s="413" t="s">
        <v>452</v>
      </c>
      <c r="T102" s="413" t="s">
        <v>55</v>
      </c>
      <c r="U102" s="415"/>
      <c r="V102" s="413"/>
      <c r="W102" s="413" t="s">
        <v>953</v>
      </c>
      <c r="X102" s="413" t="s">
        <v>954</v>
      </c>
      <c r="Y102" s="413" t="s">
        <v>58</v>
      </c>
      <c r="Z102" s="413" t="s">
        <v>955</v>
      </c>
      <c r="AA102" s="413"/>
      <c r="AB102" s="413"/>
      <c r="AC102" s="413"/>
      <c r="AD102" s="413"/>
      <c r="AE102" s="41" t="s">
        <v>61</v>
      </c>
      <c r="AF102" s="376"/>
      <c r="AG102" s="376"/>
      <c r="AH102" s="376"/>
      <c r="AI102" s="376"/>
      <c r="AJ102" s="376"/>
      <c r="AK102" s="376"/>
      <c r="AL102" s="376"/>
      <c r="AM102" s="376"/>
    </row>
    <row r="103" spans="1:39" ht="255" customHeight="1" x14ac:dyDescent="0.2">
      <c r="A103" s="376"/>
      <c r="B103" s="164" t="s">
        <v>956</v>
      </c>
      <c r="C103" s="164" t="s">
        <v>957</v>
      </c>
      <c r="D103" s="446" t="s">
        <v>446</v>
      </c>
      <c r="E103" s="413" t="s">
        <v>958</v>
      </c>
      <c r="F103" s="413" t="s">
        <v>959</v>
      </c>
      <c r="G103" s="413" t="s">
        <v>653</v>
      </c>
      <c r="H103" s="413" t="s">
        <v>960</v>
      </c>
      <c r="I103" s="413" t="s">
        <v>162</v>
      </c>
      <c r="J103" s="413" t="s">
        <v>961</v>
      </c>
      <c r="K103" s="414">
        <v>46225</v>
      </c>
      <c r="L103" s="413" t="s">
        <v>962</v>
      </c>
      <c r="M103" s="413" t="s">
        <v>963</v>
      </c>
      <c r="N103" s="413" t="s">
        <v>964</v>
      </c>
      <c r="O103" s="413"/>
      <c r="P103" s="413"/>
      <c r="Q103" s="413"/>
      <c r="R103" s="413"/>
      <c r="S103" s="413" t="s">
        <v>944</v>
      </c>
      <c r="T103" s="413"/>
      <c r="U103" s="415"/>
      <c r="V103" s="413"/>
      <c r="W103" s="413"/>
      <c r="X103" s="413" t="s">
        <v>965</v>
      </c>
      <c r="Y103" s="413" t="s">
        <v>109</v>
      </c>
      <c r="Z103" s="413" t="s">
        <v>966</v>
      </c>
      <c r="AA103" s="413"/>
      <c r="AB103" s="413"/>
      <c r="AC103" s="413"/>
      <c r="AD103" s="413"/>
      <c r="AE103" s="41" t="s">
        <v>61</v>
      </c>
      <c r="AF103" s="376"/>
      <c r="AG103" s="376"/>
      <c r="AH103" s="376"/>
      <c r="AI103" s="376"/>
      <c r="AJ103" s="376"/>
      <c r="AK103" s="376"/>
      <c r="AL103" s="376"/>
      <c r="AM103" s="376"/>
    </row>
    <row r="104" spans="1:39" ht="255" customHeight="1" x14ac:dyDescent="0.2">
      <c r="A104" s="376"/>
      <c r="B104" s="408" t="s">
        <v>967</v>
      </c>
      <c r="C104" s="408" t="s">
        <v>968</v>
      </c>
      <c r="D104" s="449" t="s">
        <v>969</v>
      </c>
      <c r="E104" s="450" t="s">
        <v>970</v>
      </c>
      <c r="F104" s="451" t="s">
        <v>971</v>
      </c>
      <c r="G104" s="450" t="s">
        <v>44</v>
      </c>
      <c r="H104" s="450" t="s">
        <v>510</v>
      </c>
      <c r="I104" s="450" t="s">
        <v>297</v>
      </c>
      <c r="J104" s="450" t="s">
        <v>698</v>
      </c>
      <c r="K104" s="452">
        <v>46225</v>
      </c>
      <c r="L104" s="450" t="s">
        <v>972</v>
      </c>
      <c r="M104" s="453" t="s">
        <v>973</v>
      </c>
      <c r="N104" s="450" t="s">
        <v>952</v>
      </c>
      <c r="O104" s="450" t="s">
        <v>135</v>
      </c>
      <c r="P104" s="450" t="s">
        <v>574</v>
      </c>
      <c r="Q104" s="450" t="s">
        <v>887</v>
      </c>
      <c r="R104" s="450"/>
      <c r="S104" s="450" t="s">
        <v>452</v>
      </c>
      <c r="T104" s="450"/>
      <c r="U104" s="454"/>
      <c r="V104" s="450"/>
      <c r="W104" s="450"/>
      <c r="X104" s="450" t="s">
        <v>423</v>
      </c>
      <c r="Y104" s="450" t="s">
        <v>58</v>
      </c>
      <c r="Z104" s="450" t="s">
        <v>974</v>
      </c>
      <c r="AA104" s="450"/>
      <c r="AB104" s="450"/>
      <c r="AC104" s="450"/>
      <c r="AD104" s="450"/>
      <c r="AE104" s="41" t="s">
        <v>61</v>
      </c>
      <c r="AF104" s="376"/>
      <c r="AG104" s="376"/>
      <c r="AH104" s="376"/>
      <c r="AI104" s="376"/>
      <c r="AJ104" s="376"/>
      <c r="AK104" s="376"/>
      <c r="AL104" s="376"/>
      <c r="AM104" s="376"/>
    </row>
    <row r="105" spans="1:39" ht="255" customHeight="1" x14ac:dyDescent="0.2">
      <c r="A105" s="376"/>
      <c r="B105" s="164" t="s">
        <v>975</v>
      </c>
      <c r="C105" s="164" t="s">
        <v>976</v>
      </c>
      <c r="D105" s="449" t="s">
        <v>969</v>
      </c>
      <c r="E105" s="4" t="s">
        <v>977</v>
      </c>
      <c r="F105" s="483" t="s">
        <v>978</v>
      </c>
      <c r="G105" s="484" t="s">
        <v>82</v>
      </c>
      <c r="H105" s="484" t="s">
        <v>510</v>
      </c>
      <c r="I105" s="484" t="s">
        <v>979</v>
      </c>
      <c r="J105" s="490" t="s">
        <v>47</v>
      </c>
      <c r="K105" s="486">
        <v>46237</v>
      </c>
      <c r="L105" s="484" t="s">
        <v>980</v>
      </c>
      <c r="M105" s="487" t="s">
        <v>981</v>
      </c>
      <c r="N105" s="484" t="s">
        <v>982</v>
      </c>
      <c r="O105" s="484"/>
      <c r="P105" s="484"/>
      <c r="Q105" s="484"/>
      <c r="R105" s="484"/>
      <c r="S105" s="490" t="s">
        <v>492</v>
      </c>
      <c r="T105" s="484" t="s">
        <v>492</v>
      </c>
      <c r="U105" s="489"/>
      <c r="V105" s="484"/>
      <c r="W105" s="484"/>
      <c r="X105" s="490" t="s">
        <v>423</v>
      </c>
      <c r="Y105" s="490" t="s">
        <v>58</v>
      </c>
      <c r="Z105" s="484" t="s">
        <v>983</v>
      </c>
      <c r="AA105" s="484"/>
      <c r="AB105" s="484"/>
      <c r="AC105" s="484"/>
      <c r="AD105" s="484"/>
      <c r="AE105" s="41" t="s">
        <v>61</v>
      </c>
      <c r="AF105" s="376"/>
      <c r="AG105" s="376"/>
      <c r="AH105" s="376"/>
      <c r="AI105" s="376"/>
      <c r="AJ105" s="376"/>
      <c r="AK105" s="376"/>
      <c r="AL105" s="376"/>
      <c r="AM105" s="376"/>
    </row>
    <row r="106" spans="1:39" ht="255" customHeight="1" x14ac:dyDescent="0.2">
      <c r="A106" s="376"/>
      <c r="B106" s="164" t="s">
        <v>984</v>
      </c>
      <c r="C106" s="482" t="s">
        <v>985</v>
      </c>
      <c r="D106" s="387" t="s">
        <v>294</v>
      </c>
      <c r="E106" s="387" t="s">
        <v>986</v>
      </c>
      <c r="F106" s="483" t="s">
        <v>987</v>
      </c>
      <c r="G106" s="484" t="s">
        <v>82</v>
      </c>
      <c r="H106" s="485" t="s">
        <v>960</v>
      </c>
      <c r="I106" s="484" t="s">
        <v>162</v>
      </c>
      <c r="J106" s="484" t="s">
        <v>988</v>
      </c>
      <c r="K106" s="486">
        <v>46241</v>
      </c>
      <c r="L106" s="484"/>
      <c r="M106" s="487" t="s">
        <v>989</v>
      </c>
      <c r="N106" s="484" t="s">
        <v>990</v>
      </c>
      <c r="O106" s="484"/>
      <c r="P106" s="484"/>
      <c r="Q106" s="484"/>
      <c r="R106" s="484"/>
      <c r="S106" s="488" t="s">
        <v>55</v>
      </c>
      <c r="T106" s="435" t="s">
        <v>492</v>
      </c>
      <c r="U106" s="489"/>
      <c r="V106" s="484"/>
      <c r="W106" s="484"/>
      <c r="X106" s="484" t="s">
        <v>991</v>
      </c>
      <c r="Y106" s="484" t="s">
        <v>58</v>
      </c>
      <c r="Z106" s="387" t="s">
        <v>992</v>
      </c>
      <c r="AA106" s="484"/>
      <c r="AB106" s="484"/>
      <c r="AC106" s="484"/>
      <c r="AD106" s="484"/>
      <c r="AE106" s="41"/>
      <c r="AF106" s="376"/>
      <c r="AG106" s="376"/>
      <c r="AH106" s="376"/>
      <c r="AI106" s="376"/>
      <c r="AJ106" s="376"/>
      <c r="AK106" s="376"/>
      <c r="AL106" s="376"/>
      <c r="AM106" s="376"/>
    </row>
    <row r="107" spans="1:39" ht="255" customHeight="1" x14ac:dyDescent="0.2">
      <c r="A107" s="376"/>
      <c r="B107" s="164" t="s">
        <v>993</v>
      </c>
      <c r="C107" s="482" t="s">
        <v>994</v>
      </c>
      <c r="D107" s="387" t="s">
        <v>294</v>
      </c>
      <c r="E107" s="387" t="s">
        <v>995</v>
      </c>
      <c r="F107" s="483" t="s">
        <v>996</v>
      </c>
      <c r="G107" s="484" t="s">
        <v>82</v>
      </c>
      <c r="H107" s="485" t="s">
        <v>960</v>
      </c>
      <c r="I107" s="484" t="s">
        <v>162</v>
      </c>
      <c r="J107" s="484" t="s">
        <v>997</v>
      </c>
      <c r="K107" s="486">
        <v>46241</v>
      </c>
      <c r="L107" s="484"/>
      <c r="M107" s="487" t="s">
        <v>998</v>
      </c>
      <c r="N107" s="484" t="s">
        <v>999</v>
      </c>
      <c r="O107" s="484" t="s">
        <v>563</v>
      </c>
      <c r="P107" s="484"/>
      <c r="Q107" s="484"/>
      <c r="R107" s="484"/>
      <c r="S107" s="488" t="s">
        <v>55</v>
      </c>
      <c r="T107" s="435" t="s">
        <v>55</v>
      </c>
      <c r="U107" s="489"/>
      <c r="V107" s="484"/>
      <c r="W107" s="484"/>
      <c r="X107" s="484" t="s">
        <v>1000</v>
      </c>
      <c r="Y107" s="484" t="s">
        <v>1001</v>
      </c>
      <c r="Z107" s="484" t="s">
        <v>1002</v>
      </c>
      <c r="AA107" s="484" t="s">
        <v>563</v>
      </c>
      <c r="AB107" s="484"/>
      <c r="AC107" s="484"/>
      <c r="AD107" s="484"/>
      <c r="AE107" s="41"/>
      <c r="AF107" s="376"/>
      <c r="AG107" s="376"/>
      <c r="AH107" s="376"/>
      <c r="AI107" s="376"/>
      <c r="AJ107" s="376"/>
      <c r="AK107" s="376"/>
      <c r="AL107" s="376"/>
      <c r="AM107" s="376"/>
    </row>
    <row r="108" spans="1:39" ht="255" customHeight="1" x14ac:dyDescent="0.2">
      <c r="A108" s="376"/>
      <c r="B108" s="164" t="s">
        <v>1003</v>
      </c>
      <c r="C108" s="164" t="s">
        <v>1004</v>
      </c>
      <c r="D108" s="4" t="s">
        <v>294</v>
      </c>
      <c r="E108" s="4" t="s">
        <v>1005</v>
      </c>
      <c r="F108" s="6" t="s">
        <v>1006</v>
      </c>
      <c r="G108" s="1" t="s">
        <v>82</v>
      </c>
      <c r="H108" s="422" t="s">
        <v>285</v>
      </c>
      <c r="I108" s="1" t="s">
        <v>260</v>
      </c>
      <c r="J108" s="1" t="s">
        <v>698</v>
      </c>
      <c r="K108" s="98">
        <v>46244</v>
      </c>
      <c r="L108" s="1" t="s">
        <v>1007</v>
      </c>
      <c r="M108" s="2" t="s">
        <v>1008</v>
      </c>
      <c r="N108" s="1" t="s">
        <v>1009</v>
      </c>
      <c r="O108" s="1"/>
      <c r="P108" s="1" t="s">
        <v>574</v>
      </c>
      <c r="Q108" s="1"/>
      <c r="R108" s="1"/>
      <c r="S108" s="459" t="s">
        <v>88</v>
      </c>
      <c r="T108" s="459"/>
      <c r="U108" s="460"/>
      <c r="V108" s="460"/>
      <c r="W108" s="1"/>
      <c r="X108" s="1" t="s">
        <v>1010</v>
      </c>
      <c r="Y108" s="1" t="s">
        <v>58</v>
      </c>
      <c r="Z108" s="1" t="s">
        <v>1011</v>
      </c>
      <c r="AA108" s="1" t="s">
        <v>563</v>
      </c>
      <c r="AB108" s="1" t="s">
        <v>1012</v>
      </c>
      <c r="AC108" s="1"/>
      <c r="AD108" s="1"/>
      <c r="AE108" s="41"/>
      <c r="AF108" s="376"/>
      <c r="AG108" s="376"/>
      <c r="AH108" s="376"/>
      <c r="AI108" s="376"/>
      <c r="AJ108" s="376"/>
      <c r="AK108" s="376"/>
      <c r="AL108" s="376"/>
      <c r="AM108" s="376"/>
    </row>
    <row r="109" spans="1:39" ht="409.5" customHeight="1" x14ac:dyDescent="0.2">
      <c r="A109" s="376"/>
      <c r="B109" s="164" t="s">
        <v>1013</v>
      </c>
      <c r="C109" s="164" t="s">
        <v>1014</v>
      </c>
      <c r="D109" s="100" t="s">
        <v>436</v>
      </c>
      <c r="E109" s="422" t="s">
        <v>1015</v>
      </c>
      <c r="F109" s="462" t="s">
        <v>1016</v>
      </c>
      <c r="G109" s="422" t="s">
        <v>486</v>
      </c>
      <c r="H109" s="422" t="s">
        <v>161</v>
      </c>
      <c r="I109" s="422" t="s">
        <v>162</v>
      </c>
      <c r="J109" s="422" t="s">
        <v>1017</v>
      </c>
      <c r="K109" s="461">
        <v>46255</v>
      </c>
      <c r="L109" s="422" t="s">
        <v>1018</v>
      </c>
      <c r="M109" s="422" t="s">
        <v>1019</v>
      </c>
      <c r="N109" s="422" t="s">
        <v>1020</v>
      </c>
      <c r="O109" s="422"/>
      <c r="P109" s="422" t="s">
        <v>1021</v>
      </c>
      <c r="Q109" s="422" t="s">
        <v>858</v>
      </c>
      <c r="R109" s="422"/>
      <c r="S109" s="462" t="s">
        <v>1022</v>
      </c>
      <c r="T109" s="422"/>
      <c r="U109" s="463"/>
      <c r="V109" s="422"/>
      <c r="W109" s="422"/>
      <c r="X109" s="422" t="s">
        <v>1023</v>
      </c>
      <c r="Y109" s="422" t="s">
        <v>925</v>
      </c>
      <c r="Z109" s="422" t="s">
        <v>1024</v>
      </c>
      <c r="AA109" s="422"/>
      <c r="AB109" s="422"/>
      <c r="AC109" s="422"/>
      <c r="AD109" s="422"/>
      <c r="AE109" s="32"/>
      <c r="AF109" s="376"/>
      <c r="AG109" s="376"/>
      <c r="AH109" s="376"/>
      <c r="AI109" s="376"/>
      <c r="AJ109" s="376"/>
      <c r="AK109" s="376"/>
      <c r="AL109" s="376"/>
      <c r="AM109" s="376"/>
    </row>
    <row r="110" spans="1:39" ht="334.5" customHeight="1" x14ac:dyDescent="0.2">
      <c r="A110" s="376"/>
      <c r="B110" s="164" t="s">
        <v>1025</v>
      </c>
      <c r="C110" s="164" t="s">
        <v>1026</v>
      </c>
      <c r="D110" s="100" t="s">
        <v>436</v>
      </c>
      <c r="E110" s="422" t="s">
        <v>1027</v>
      </c>
      <c r="F110" s="430" t="s">
        <v>1028</v>
      </c>
      <c r="G110" s="422" t="s">
        <v>82</v>
      </c>
      <c r="H110" s="422" t="s">
        <v>161</v>
      </c>
      <c r="I110" s="422" t="s">
        <v>162</v>
      </c>
      <c r="J110" s="422" t="s">
        <v>931</v>
      </c>
      <c r="K110" s="461">
        <v>46252</v>
      </c>
      <c r="L110" s="422" t="s">
        <v>1029</v>
      </c>
      <c r="M110" s="422" t="s">
        <v>1030</v>
      </c>
      <c r="N110" s="422"/>
      <c r="O110" s="422"/>
      <c r="P110" s="422"/>
      <c r="Q110" s="422" t="s">
        <v>87</v>
      </c>
      <c r="R110" s="422"/>
      <c r="S110" s="462" t="s">
        <v>1022</v>
      </c>
      <c r="T110" s="422"/>
      <c r="U110" s="463"/>
      <c r="V110" s="422"/>
      <c r="W110" s="422"/>
      <c r="X110" s="422" t="s">
        <v>1031</v>
      </c>
      <c r="Y110" s="2" t="s">
        <v>58</v>
      </c>
      <c r="Z110" s="422" t="s">
        <v>1032</v>
      </c>
      <c r="AA110" s="422"/>
      <c r="AB110" s="422"/>
      <c r="AC110" s="422"/>
      <c r="AD110" s="422"/>
      <c r="AE110" s="32" t="s">
        <v>61</v>
      </c>
      <c r="AF110" s="376"/>
      <c r="AG110" s="376"/>
      <c r="AH110" s="376"/>
      <c r="AI110" s="376"/>
      <c r="AJ110" s="376"/>
      <c r="AK110" s="376"/>
      <c r="AL110" s="376"/>
      <c r="AM110" s="376"/>
    </row>
    <row r="111" spans="1:39" ht="334.5" customHeight="1" x14ac:dyDescent="0.2">
      <c r="A111" s="376"/>
      <c r="B111" s="164" t="s">
        <v>1033</v>
      </c>
      <c r="C111" s="164" t="s">
        <v>1034</v>
      </c>
      <c r="D111" s="100" t="s">
        <v>139</v>
      </c>
      <c r="E111" s="422" t="s">
        <v>1035</v>
      </c>
      <c r="F111" s="462"/>
      <c r="G111" s="422" t="s">
        <v>44</v>
      </c>
      <c r="H111" s="422" t="s">
        <v>285</v>
      </c>
      <c r="I111" s="422" t="s">
        <v>769</v>
      </c>
      <c r="J111" s="422" t="s">
        <v>770</v>
      </c>
      <c r="K111" s="461">
        <v>46261</v>
      </c>
      <c r="L111" s="422" t="s">
        <v>1036</v>
      </c>
      <c r="M111" s="422" t="s">
        <v>1037</v>
      </c>
      <c r="N111" s="422" t="s">
        <v>1038</v>
      </c>
      <c r="O111" s="422"/>
      <c r="P111" s="422"/>
      <c r="Q111" s="422" t="s">
        <v>887</v>
      </c>
      <c r="R111" s="422"/>
      <c r="S111" s="462" t="s">
        <v>1039</v>
      </c>
      <c r="T111" s="422"/>
      <c r="U111" s="463"/>
      <c r="V111" s="422"/>
      <c r="W111" s="422"/>
      <c r="X111" s="422"/>
      <c r="Y111" s="2" t="s">
        <v>1040</v>
      </c>
      <c r="Z111" s="422" t="s">
        <v>1041</v>
      </c>
      <c r="AA111" s="422"/>
      <c r="AB111" s="422"/>
      <c r="AC111" s="422"/>
      <c r="AD111" s="422"/>
      <c r="AE111" s="32"/>
      <c r="AF111" s="376"/>
      <c r="AG111" s="376"/>
      <c r="AH111" s="376"/>
      <c r="AI111" s="376"/>
      <c r="AJ111" s="376"/>
      <c r="AK111" s="376"/>
      <c r="AL111" s="376"/>
      <c r="AM111" s="376"/>
    </row>
    <row r="112" spans="1:39" ht="358" customHeight="1" x14ac:dyDescent="0.2">
      <c r="A112" s="376"/>
      <c r="B112" s="464" t="s">
        <v>1042</v>
      </c>
      <c r="C112" s="164" t="s">
        <v>1043</v>
      </c>
      <c r="D112" s="100" t="s">
        <v>373</v>
      </c>
      <c r="E112" s="422" t="s">
        <v>1044</v>
      </c>
      <c r="F112" s="413" t="s">
        <v>1045</v>
      </c>
      <c r="G112" s="422" t="s">
        <v>44</v>
      </c>
      <c r="H112" s="422" t="s">
        <v>285</v>
      </c>
      <c r="I112" s="2" t="s">
        <v>260</v>
      </c>
      <c r="J112" s="2" t="s">
        <v>1046</v>
      </c>
      <c r="K112" s="150">
        <v>46272</v>
      </c>
      <c r="L112" s="422" t="s">
        <v>1047</v>
      </c>
      <c r="M112" s="422" t="s">
        <v>1048</v>
      </c>
      <c r="N112" s="422" t="s">
        <v>1049</v>
      </c>
      <c r="O112" s="422" t="s">
        <v>1050</v>
      </c>
      <c r="P112" s="422"/>
      <c r="Q112" s="422" t="s">
        <v>887</v>
      </c>
      <c r="R112" s="422"/>
      <c r="S112" s="413" t="s">
        <v>1022</v>
      </c>
      <c r="T112" s="422"/>
      <c r="U112" s="463"/>
      <c r="V112" s="422"/>
      <c r="W112" s="422"/>
      <c r="X112" s="422" t="s">
        <v>1051</v>
      </c>
      <c r="Y112" s="422" t="s">
        <v>1052</v>
      </c>
      <c r="Z112" s="413" t="s">
        <v>1053</v>
      </c>
      <c r="AA112" s="422"/>
      <c r="AB112" s="448" t="s">
        <v>1054</v>
      </c>
      <c r="AC112" s="422"/>
      <c r="AD112" s="422"/>
      <c r="AE112" s="32"/>
      <c r="AF112" s="376"/>
      <c r="AG112" s="376"/>
      <c r="AH112" s="376"/>
      <c r="AI112" s="376"/>
      <c r="AJ112" s="376"/>
      <c r="AK112" s="376"/>
      <c r="AL112" s="376"/>
      <c r="AM112" s="376"/>
    </row>
    <row r="113" spans="1:39" ht="345" x14ac:dyDescent="0.2">
      <c r="A113" s="376"/>
      <c r="B113" s="467" t="s">
        <v>1055</v>
      </c>
      <c r="C113" s="408" t="s">
        <v>1056</v>
      </c>
      <c r="D113" s="409" t="s">
        <v>476</v>
      </c>
      <c r="E113" s="453" t="s">
        <v>1057</v>
      </c>
      <c r="F113" s="451" t="s">
        <v>1058</v>
      </c>
      <c r="G113" s="453" t="s">
        <v>44</v>
      </c>
      <c r="H113" s="453" t="s">
        <v>285</v>
      </c>
      <c r="I113" s="468" t="s">
        <v>260</v>
      </c>
      <c r="J113" s="468" t="s">
        <v>1046</v>
      </c>
      <c r="K113" s="469">
        <v>46272</v>
      </c>
      <c r="L113" s="453" t="s">
        <v>1059</v>
      </c>
      <c r="M113" s="453" t="s">
        <v>1060</v>
      </c>
      <c r="N113" s="453" t="s">
        <v>1061</v>
      </c>
      <c r="O113" s="453" t="s">
        <v>1062</v>
      </c>
      <c r="P113" s="453"/>
      <c r="Q113" s="453" t="s">
        <v>887</v>
      </c>
      <c r="R113" s="453"/>
      <c r="S113" s="451" t="s">
        <v>1063</v>
      </c>
      <c r="T113" s="453"/>
      <c r="U113" s="470"/>
      <c r="V113" s="453"/>
      <c r="W113" s="453"/>
      <c r="X113" s="453" t="s">
        <v>1064</v>
      </c>
      <c r="Y113" s="453" t="s">
        <v>147</v>
      </c>
      <c r="Z113" s="104" t="s">
        <v>1065</v>
      </c>
      <c r="AA113" s="453"/>
      <c r="AB113" s="471" t="s">
        <v>1066</v>
      </c>
      <c r="AC113" s="453"/>
      <c r="AD113" s="453"/>
      <c r="AE113" s="32"/>
      <c r="AF113" s="376"/>
      <c r="AG113" s="376"/>
      <c r="AH113" s="376"/>
      <c r="AI113" s="376"/>
      <c r="AJ113" s="376"/>
      <c r="AK113" s="376"/>
      <c r="AL113" s="376"/>
      <c r="AM113" s="376"/>
    </row>
    <row r="114" spans="1:39" ht="409.5" x14ac:dyDescent="0.2">
      <c r="A114" s="376"/>
      <c r="B114" s="467" t="s">
        <v>1067</v>
      </c>
      <c r="C114" s="408" t="s">
        <v>1068</v>
      </c>
      <c r="D114" s="409" t="s">
        <v>1069</v>
      </c>
      <c r="E114" s="468" t="s">
        <v>1070</v>
      </c>
      <c r="F114" s="473" t="s">
        <v>1071</v>
      </c>
      <c r="G114" s="468" t="s">
        <v>82</v>
      </c>
      <c r="H114" s="468" t="s">
        <v>285</v>
      </c>
      <c r="I114" s="468" t="s">
        <v>260</v>
      </c>
      <c r="J114" s="468" t="s">
        <v>1072</v>
      </c>
      <c r="K114" s="469">
        <v>46279</v>
      </c>
      <c r="L114" s="468" t="s">
        <v>1073</v>
      </c>
      <c r="M114" s="468" t="s">
        <v>1074</v>
      </c>
      <c r="N114" s="474" t="s">
        <v>1075</v>
      </c>
      <c r="O114" s="409" t="s">
        <v>574</v>
      </c>
      <c r="P114" s="474" t="s">
        <v>574</v>
      </c>
      <c r="Q114" s="474" t="s">
        <v>87</v>
      </c>
      <c r="R114" s="468"/>
      <c r="S114" s="475" t="s">
        <v>452</v>
      </c>
      <c r="T114" s="468"/>
      <c r="U114" s="476"/>
      <c r="V114" s="468"/>
      <c r="W114" s="468"/>
      <c r="X114" s="409" t="s">
        <v>575</v>
      </c>
      <c r="Y114" s="409" t="s">
        <v>147</v>
      </c>
      <c r="Z114" s="477" t="s">
        <v>1076</v>
      </c>
      <c r="AA114" s="468"/>
      <c r="AB114" s="478"/>
      <c r="AC114" s="468"/>
      <c r="AD114" s="468"/>
      <c r="AE114" s="32"/>
      <c r="AF114" s="376"/>
      <c r="AG114" s="376"/>
      <c r="AH114" s="376"/>
      <c r="AI114" s="376"/>
      <c r="AJ114" s="376"/>
      <c r="AK114" s="376"/>
      <c r="AL114" s="376"/>
      <c r="AM114" s="376"/>
    </row>
    <row r="115" spans="1:39" ht="165" customHeight="1" x14ac:dyDescent="0.2">
      <c r="A115" s="479"/>
      <c r="B115" s="464" t="s">
        <v>1077</v>
      </c>
      <c r="C115" s="164" t="s">
        <v>1078</v>
      </c>
      <c r="D115" s="413" t="s">
        <v>307</v>
      </c>
      <c r="E115" s="1" t="s">
        <v>1079</v>
      </c>
      <c r="F115" s="6" t="s">
        <v>1080</v>
      </c>
      <c r="G115" s="413" t="s">
        <v>82</v>
      </c>
      <c r="H115" s="2" t="s">
        <v>161</v>
      </c>
      <c r="I115" s="2" t="s">
        <v>162</v>
      </c>
      <c r="J115" s="1" t="s">
        <v>988</v>
      </c>
      <c r="K115" s="150">
        <v>46290</v>
      </c>
      <c r="L115" s="2" t="s">
        <v>1081</v>
      </c>
      <c r="M115" s="2" t="s">
        <v>2680</v>
      </c>
      <c r="N115" s="4" t="s">
        <v>1082</v>
      </c>
      <c r="O115" s="100" t="s">
        <v>574</v>
      </c>
      <c r="P115" s="4" t="s">
        <v>574</v>
      </c>
      <c r="Q115" s="4" t="s">
        <v>87</v>
      </c>
      <c r="R115" s="2"/>
      <c r="S115" s="1" t="s">
        <v>595</v>
      </c>
      <c r="T115" s="2"/>
      <c r="U115" s="472"/>
      <c r="V115" s="2"/>
      <c r="W115" s="2"/>
      <c r="X115" s="413" t="s">
        <v>1083</v>
      </c>
      <c r="Y115" s="413" t="s">
        <v>907</v>
      </c>
      <c r="Z115" s="215" t="s">
        <v>1084</v>
      </c>
      <c r="AA115" s="2"/>
      <c r="AB115" s="186"/>
      <c r="AC115" s="2"/>
      <c r="AD115" s="2"/>
      <c r="AE115" s="32"/>
      <c r="AF115" s="376"/>
      <c r="AG115" s="376"/>
      <c r="AH115" s="376"/>
      <c r="AI115" s="376"/>
      <c r="AJ115" s="376"/>
      <c r="AK115" s="376"/>
      <c r="AL115" s="376"/>
      <c r="AM115" s="376"/>
    </row>
    <row r="116" spans="1:39" ht="150.75" customHeight="1" x14ac:dyDescent="0.2">
      <c r="A116" s="376"/>
      <c r="B116" s="464" t="s">
        <v>1085</v>
      </c>
      <c r="C116" s="164" t="s">
        <v>1086</v>
      </c>
      <c r="D116" s="413" t="s">
        <v>325</v>
      </c>
      <c r="E116" s="2" t="s">
        <v>1087</v>
      </c>
      <c r="F116" s="6" t="s">
        <v>1088</v>
      </c>
      <c r="G116" s="413" t="s">
        <v>97</v>
      </c>
      <c r="H116" s="2" t="s">
        <v>285</v>
      </c>
      <c r="I116" s="2" t="s">
        <v>260</v>
      </c>
      <c r="J116" s="1" t="s">
        <v>698</v>
      </c>
      <c r="K116" s="150">
        <v>46290</v>
      </c>
      <c r="L116" s="2" t="s">
        <v>1089</v>
      </c>
      <c r="M116" s="2" t="s">
        <v>1090</v>
      </c>
      <c r="N116" s="4" t="s">
        <v>1091</v>
      </c>
      <c r="O116" s="413"/>
      <c r="P116" s="413" t="s">
        <v>868</v>
      </c>
      <c r="Q116" s="413"/>
      <c r="R116" s="2"/>
      <c r="S116" s="1" t="s">
        <v>88</v>
      </c>
      <c r="T116" s="2"/>
      <c r="U116" s="472"/>
      <c r="V116" s="2"/>
      <c r="W116" s="2"/>
      <c r="X116" s="413"/>
      <c r="Y116" s="413"/>
      <c r="Z116" s="413"/>
      <c r="AA116" s="2"/>
      <c r="AB116" s="100" t="s">
        <v>1092</v>
      </c>
      <c r="AC116" s="2"/>
      <c r="AD116" s="2"/>
      <c r="AE116" s="32"/>
      <c r="AF116" s="376"/>
      <c r="AG116" s="376"/>
      <c r="AH116" s="376"/>
      <c r="AI116" s="376"/>
      <c r="AJ116" s="376"/>
      <c r="AK116" s="376"/>
      <c r="AL116" s="376"/>
      <c r="AM116" s="376"/>
    </row>
    <row r="117" spans="1:39" ht="150.75" customHeight="1" x14ac:dyDescent="0.2">
      <c r="A117" s="376"/>
      <c r="B117" s="464" t="s">
        <v>1093</v>
      </c>
      <c r="C117" s="164" t="s">
        <v>1094</v>
      </c>
      <c r="D117" s="413" t="s">
        <v>1069</v>
      </c>
      <c r="E117" s="2" t="s">
        <v>1095</v>
      </c>
      <c r="F117" s="6" t="s">
        <v>1088</v>
      </c>
      <c r="G117" s="413" t="s">
        <v>97</v>
      </c>
      <c r="H117" s="2" t="s">
        <v>285</v>
      </c>
      <c r="I117" s="2" t="s">
        <v>260</v>
      </c>
      <c r="J117" s="1" t="s">
        <v>698</v>
      </c>
      <c r="K117" s="150">
        <v>46290</v>
      </c>
      <c r="L117" s="2" t="s">
        <v>1096</v>
      </c>
      <c r="M117" s="2" t="s">
        <v>1097</v>
      </c>
      <c r="N117" s="4" t="s">
        <v>1098</v>
      </c>
      <c r="O117" s="413"/>
      <c r="P117" s="413" t="s">
        <v>868</v>
      </c>
      <c r="Q117" s="413"/>
      <c r="R117" s="2"/>
      <c r="S117" s="1" t="s">
        <v>88</v>
      </c>
      <c r="T117" s="2"/>
      <c r="U117" s="472"/>
      <c r="V117" s="2"/>
      <c r="W117" s="2"/>
      <c r="X117" s="413" t="s">
        <v>1099</v>
      </c>
      <c r="Y117" s="413" t="s">
        <v>58</v>
      </c>
      <c r="Z117" s="215" t="s">
        <v>1100</v>
      </c>
      <c r="AA117" s="2"/>
      <c r="AB117" s="186"/>
      <c r="AC117" s="2"/>
      <c r="AD117" s="2"/>
      <c r="AE117" s="32"/>
      <c r="AF117" s="376"/>
      <c r="AG117" s="376"/>
      <c r="AH117" s="376"/>
      <c r="AI117" s="376"/>
      <c r="AJ117" s="376"/>
      <c r="AK117" s="376"/>
      <c r="AL117" s="376"/>
      <c r="AM117" s="376"/>
    </row>
    <row r="118" spans="1:39" ht="150.75" customHeight="1" x14ac:dyDescent="0.2">
      <c r="A118" s="376"/>
      <c r="B118" s="464" t="s">
        <v>1101</v>
      </c>
      <c r="C118" s="164" t="s">
        <v>1102</v>
      </c>
      <c r="D118" s="413" t="s">
        <v>1103</v>
      </c>
      <c r="E118" s="2" t="s">
        <v>1104</v>
      </c>
      <c r="F118" s="6" t="s">
        <v>1088</v>
      </c>
      <c r="G118" s="413" t="s">
        <v>82</v>
      </c>
      <c r="H118" s="2" t="s">
        <v>285</v>
      </c>
      <c r="I118" s="2" t="s">
        <v>260</v>
      </c>
      <c r="J118" s="1" t="s">
        <v>698</v>
      </c>
      <c r="K118" s="150">
        <v>46290</v>
      </c>
      <c r="L118" s="2" t="s">
        <v>1105</v>
      </c>
      <c r="M118" s="2" t="s">
        <v>1106</v>
      </c>
      <c r="N118" s="4"/>
      <c r="O118" s="100" t="s">
        <v>574</v>
      </c>
      <c r="P118" s="4" t="s">
        <v>1107</v>
      </c>
      <c r="Q118" s="4" t="s">
        <v>87</v>
      </c>
      <c r="R118" s="2"/>
      <c r="S118" s="1" t="s">
        <v>88</v>
      </c>
      <c r="T118" s="2"/>
      <c r="U118" s="472"/>
      <c r="V118" s="2"/>
      <c r="W118" s="2"/>
      <c r="X118" s="413" t="s">
        <v>1108</v>
      </c>
      <c r="Y118" s="413" t="s">
        <v>58</v>
      </c>
      <c r="Z118" s="215" t="s">
        <v>1109</v>
      </c>
      <c r="AA118" s="2"/>
      <c r="AB118" s="1" t="s">
        <v>1110</v>
      </c>
      <c r="AC118" s="2"/>
      <c r="AD118" s="2"/>
      <c r="AE118" s="32"/>
      <c r="AF118" s="376"/>
      <c r="AG118" s="376"/>
      <c r="AH118" s="376"/>
      <c r="AI118" s="376"/>
      <c r="AJ118" s="376"/>
      <c r="AK118" s="376"/>
      <c r="AL118" s="376"/>
      <c r="AM118" s="376"/>
    </row>
    <row r="119" spans="1:39" ht="150.75" customHeight="1" x14ac:dyDescent="0.2">
      <c r="A119" s="376"/>
      <c r="B119" s="464" t="s">
        <v>1111</v>
      </c>
      <c r="C119" s="164" t="s">
        <v>1112</v>
      </c>
      <c r="D119" s="413" t="s">
        <v>325</v>
      </c>
      <c r="E119" s="2" t="s">
        <v>1113</v>
      </c>
      <c r="F119" s="6" t="s">
        <v>1088</v>
      </c>
      <c r="G119" s="413" t="s">
        <v>82</v>
      </c>
      <c r="H119" s="2" t="s">
        <v>285</v>
      </c>
      <c r="I119" s="2" t="s">
        <v>260</v>
      </c>
      <c r="J119" s="1" t="s">
        <v>698</v>
      </c>
      <c r="K119" s="150">
        <v>46290</v>
      </c>
      <c r="L119" s="2" t="s">
        <v>1114</v>
      </c>
      <c r="M119" s="2" t="s">
        <v>1115</v>
      </c>
      <c r="N119" s="4"/>
      <c r="O119" s="413"/>
      <c r="P119" s="413" t="s">
        <v>574</v>
      </c>
      <c r="Q119" s="4" t="s">
        <v>87</v>
      </c>
      <c r="R119" s="2"/>
      <c r="S119" s="1" t="s">
        <v>88</v>
      </c>
      <c r="T119" s="2"/>
      <c r="U119" s="472"/>
      <c r="V119" s="2"/>
      <c r="W119" s="2"/>
      <c r="X119" s="413"/>
      <c r="Y119" s="413"/>
      <c r="Z119" s="413"/>
      <c r="AA119" s="2"/>
      <c r="AB119" s="1"/>
      <c r="AC119" s="2"/>
      <c r="AD119" s="2"/>
      <c r="AE119" s="32"/>
      <c r="AF119" s="376"/>
      <c r="AG119" s="376"/>
      <c r="AH119" s="376"/>
      <c r="AI119" s="376"/>
      <c r="AJ119" s="376"/>
      <c r="AK119" s="376"/>
      <c r="AL119" s="376"/>
      <c r="AM119" s="376"/>
    </row>
    <row r="120" spans="1:39" ht="240" x14ac:dyDescent="0.2">
      <c r="A120" s="376"/>
      <c r="B120" s="464" t="s">
        <v>1116</v>
      </c>
      <c r="C120" s="164" t="s">
        <v>1117</v>
      </c>
      <c r="D120" s="413" t="s">
        <v>969</v>
      </c>
      <c r="E120" s="2" t="s">
        <v>1118</v>
      </c>
      <c r="F120" s="6" t="s">
        <v>1088</v>
      </c>
      <c r="G120" s="413" t="s">
        <v>82</v>
      </c>
      <c r="H120" s="2" t="s">
        <v>285</v>
      </c>
      <c r="I120" s="2" t="s">
        <v>260</v>
      </c>
      <c r="J120" s="1" t="s">
        <v>698</v>
      </c>
      <c r="K120" s="150">
        <v>46290</v>
      </c>
      <c r="L120" s="2" t="s">
        <v>1119</v>
      </c>
      <c r="M120" s="2" t="s">
        <v>1120</v>
      </c>
      <c r="N120" s="4"/>
      <c r="O120" s="100"/>
      <c r="P120" s="4" t="s">
        <v>868</v>
      </c>
      <c r="Q120" s="4" t="s">
        <v>87</v>
      </c>
      <c r="R120" s="2"/>
      <c r="S120" s="1" t="s">
        <v>88</v>
      </c>
      <c r="T120" s="2"/>
      <c r="U120" s="472"/>
      <c r="V120" s="2"/>
      <c r="W120" s="2"/>
      <c r="X120" s="413" t="s">
        <v>1121</v>
      </c>
      <c r="Y120" s="413" t="s">
        <v>109</v>
      </c>
      <c r="Z120" s="215" t="s">
        <v>1122</v>
      </c>
      <c r="AA120" s="2"/>
      <c r="AB120" s="1" t="s">
        <v>1123</v>
      </c>
      <c r="AC120" s="2"/>
      <c r="AD120" s="2"/>
      <c r="AE120" s="32"/>
      <c r="AF120" s="376"/>
      <c r="AG120" s="376"/>
      <c r="AH120" s="376"/>
      <c r="AI120" s="376"/>
      <c r="AJ120" s="376"/>
      <c r="AK120" s="376"/>
      <c r="AL120" s="376"/>
      <c r="AM120" s="376"/>
    </row>
    <row r="121" spans="1:39" ht="180" x14ac:dyDescent="0.2">
      <c r="A121" s="376"/>
      <c r="B121" s="464" t="s">
        <v>1124</v>
      </c>
      <c r="C121" s="164" t="s">
        <v>1125</v>
      </c>
      <c r="D121" s="413" t="s">
        <v>294</v>
      </c>
      <c r="E121" s="2" t="s">
        <v>1126</v>
      </c>
      <c r="F121" s="6" t="s">
        <v>1088</v>
      </c>
      <c r="G121" s="413" t="s">
        <v>82</v>
      </c>
      <c r="H121" s="2" t="s">
        <v>1127</v>
      </c>
      <c r="I121" s="2" t="s">
        <v>260</v>
      </c>
      <c r="J121" s="1" t="s">
        <v>698</v>
      </c>
      <c r="K121" s="150">
        <v>46290</v>
      </c>
      <c r="L121" s="2" t="s">
        <v>1128</v>
      </c>
      <c r="M121" s="2" t="s">
        <v>1129</v>
      </c>
      <c r="N121" s="4" t="s">
        <v>1130</v>
      </c>
      <c r="O121" s="100" t="s">
        <v>574</v>
      </c>
      <c r="P121" s="4" t="s">
        <v>574</v>
      </c>
      <c r="Q121" s="4" t="s">
        <v>87</v>
      </c>
      <c r="R121" s="2"/>
      <c r="S121" s="1" t="s">
        <v>88</v>
      </c>
      <c r="T121" s="2"/>
      <c r="U121" s="472"/>
      <c r="V121" s="2"/>
      <c r="W121" s="2"/>
      <c r="X121" s="413" t="s">
        <v>303</v>
      </c>
      <c r="Y121" s="413" t="s">
        <v>147</v>
      </c>
      <c r="Z121" s="215" t="s">
        <v>1131</v>
      </c>
      <c r="AA121" s="2"/>
      <c r="AB121" s="1"/>
      <c r="AC121" s="2"/>
      <c r="AD121" s="2"/>
      <c r="AE121" s="32"/>
      <c r="AF121" s="376"/>
      <c r="AG121" s="376"/>
      <c r="AH121" s="376"/>
      <c r="AI121" s="376"/>
      <c r="AJ121" s="376"/>
      <c r="AK121" s="376"/>
      <c r="AL121" s="376"/>
      <c r="AM121" s="376"/>
    </row>
    <row r="122" spans="1:39" ht="150" x14ac:dyDescent="0.2">
      <c r="A122" s="376"/>
      <c r="B122" s="464" t="s">
        <v>1132</v>
      </c>
      <c r="C122" s="164" t="s">
        <v>1133</v>
      </c>
      <c r="D122" s="413" t="s">
        <v>294</v>
      </c>
      <c r="E122" s="2" t="s">
        <v>1134</v>
      </c>
      <c r="F122" s="6" t="s">
        <v>1088</v>
      </c>
      <c r="G122" s="413" t="s">
        <v>82</v>
      </c>
      <c r="H122" s="2" t="s">
        <v>285</v>
      </c>
      <c r="I122" s="2" t="s">
        <v>260</v>
      </c>
      <c r="J122" s="1" t="s">
        <v>698</v>
      </c>
      <c r="K122" s="150">
        <v>46290</v>
      </c>
      <c r="L122" s="2" t="s">
        <v>1135</v>
      </c>
      <c r="M122" s="2" t="s">
        <v>1136</v>
      </c>
      <c r="N122" s="4" t="s">
        <v>1137</v>
      </c>
      <c r="O122" s="100" t="s">
        <v>574</v>
      </c>
      <c r="P122" s="4" t="s">
        <v>574</v>
      </c>
      <c r="Q122" s="4" t="s">
        <v>87</v>
      </c>
      <c r="R122" s="2"/>
      <c r="S122" s="1" t="s">
        <v>88</v>
      </c>
      <c r="T122" s="2"/>
      <c r="U122" s="472"/>
      <c r="V122" s="2"/>
      <c r="W122" s="2"/>
      <c r="X122" s="413" t="s">
        <v>303</v>
      </c>
      <c r="Y122" s="413" t="s">
        <v>58</v>
      </c>
      <c r="Z122" s="215" t="s">
        <v>1138</v>
      </c>
      <c r="AA122" s="2"/>
      <c r="AB122" s="1"/>
      <c r="AC122" s="2"/>
      <c r="AD122" s="2"/>
      <c r="AE122" s="32"/>
      <c r="AF122" s="376"/>
      <c r="AG122" s="376"/>
      <c r="AH122" s="376"/>
      <c r="AI122" s="376"/>
      <c r="AJ122" s="376"/>
      <c r="AK122" s="376"/>
      <c r="AL122" s="376"/>
      <c r="AM122" s="376"/>
    </row>
    <row r="123" spans="1:39" ht="180" x14ac:dyDescent="0.2">
      <c r="A123" s="376"/>
      <c r="B123" s="464" t="s">
        <v>1139</v>
      </c>
      <c r="C123" s="164" t="s">
        <v>1140</v>
      </c>
      <c r="D123" s="422" t="s">
        <v>1141</v>
      </c>
      <c r="E123" s="2" t="s">
        <v>1142</v>
      </c>
      <c r="F123" s="6"/>
      <c r="G123" s="422" t="s">
        <v>44</v>
      </c>
      <c r="H123" s="2" t="s">
        <v>1143</v>
      </c>
      <c r="I123" s="2" t="s">
        <v>1144</v>
      </c>
      <c r="J123" s="2" t="s">
        <v>1145</v>
      </c>
      <c r="K123" s="150">
        <v>46297</v>
      </c>
      <c r="L123" s="2" t="s">
        <v>1146</v>
      </c>
      <c r="M123" s="2" t="s">
        <v>1147</v>
      </c>
      <c r="N123" s="100" t="s">
        <v>1148</v>
      </c>
      <c r="O123" s="100"/>
      <c r="P123" s="100"/>
      <c r="Q123" s="100"/>
      <c r="R123" s="2"/>
      <c r="S123" s="2" t="s">
        <v>1022</v>
      </c>
      <c r="T123" s="2"/>
      <c r="U123" s="472"/>
      <c r="V123" s="2"/>
      <c r="W123" s="2"/>
      <c r="X123" s="422" t="s">
        <v>1149</v>
      </c>
      <c r="Y123" s="422" t="s">
        <v>58</v>
      </c>
      <c r="Z123" s="215" t="s">
        <v>1150</v>
      </c>
      <c r="AA123" s="2"/>
      <c r="AB123" s="2"/>
      <c r="AC123" s="2"/>
      <c r="AD123" s="2"/>
      <c r="AE123" s="32"/>
      <c r="AF123" s="376"/>
      <c r="AG123" s="376"/>
      <c r="AH123" s="376"/>
      <c r="AI123" s="376"/>
      <c r="AJ123" s="376"/>
      <c r="AK123" s="376"/>
      <c r="AL123" s="376"/>
      <c r="AM123" s="376"/>
    </row>
    <row r="124" spans="1:39" ht="180" x14ac:dyDescent="0.2">
      <c r="A124" s="376"/>
      <c r="B124" s="464" t="s">
        <v>1151</v>
      </c>
      <c r="C124" s="164" t="s">
        <v>1152</v>
      </c>
      <c r="D124" s="422" t="s">
        <v>1153</v>
      </c>
      <c r="E124" s="2" t="s">
        <v>1154</v>
      </c>
      <c r="F124" s="6" t="s">
        <v>1155</v>
      </c>
      <c r="G124" s="422" t="s">
        <v>82</v>
      </c>
      <c r="H124" s="2" t="s">
        <v>285</v>
      </c>
      <c r="I124" s="2" t="s">
        <v>260</v>
      </c>
      <c r="J124" s="2" t="s">
        <v>47</v>
      </c>
      <c r="K124" s="150">
        <v>46300</v>
      </c>
      <c r="L124" s="2" t="s">
        <v>1156</v>
      </c>
      <c r="M124" s="2" t="s">
        <v>1157</v>
      </c>
      <c r="N124" s="100" t="s">
        <v>1158</v>
      </c>
      <c r="O124" s="100" t="s">
        <v>1159</v>
      </c>
      <c r="P124" s="100" t="s">
        <v>868</v>
      </c>
      <c r="Q124" s="100" t="s">
        <v>574</v>
      </c>
      <c r="R124" s="2"/>
      <c r="S124" s="2" t="s">
        <v>1160</v>
      </c>
      <c r="T124" s="2"/>
      <c r="U124" s="472"/>
      <c r="V124" s="2"/>
      <c r="W124" s="2"/>
      <c r="X124" s="422" t="s">
        <v>1161</v>
      </c>
      <c r="Y124" s="422" t="s">
        <v>109</v>
      </c>
      <c r="Z124" s="215" t="s">
        <v>1162</v>
      </c>
      <c r="AA124" s="2"/>
      <c r="AB124" s="2"/>
      <c r="AC124" s="2"/>
      <c r="AD124" s="2"/>
      <c r="AE124" s="32"/>
      <c r="AF124" s="376"/>
      <c r="AG124" s="376"/>
      <c r="AH124" s="376"/>
      <c r="AI124" s="376"/>
      <c r="AJ124" s="376"/>
      <c r="AK124" s="376"/>
      <c r="AL124" s="376"/>
      <c r="AM124" s="376"/>
    </row>
    <row r="125" spans="1:39" ht="240" x14ac:dyDescent="0.2">
      <c r="A125" s="376"/>
      <c r="B125" s="464" t="s">
        <v>1163</v>
      </c>
      <c r="C125" s="164" t="s">
        <v>1164</v>
      </c>
      <c r="D125" s="422" t="s">
        <v>1153</v>
      </c>
      <c r="E125" s="2" t="s">
        <v>1165</v>
      </c>
      <c r="F125" s="6" t="s">
        <v>1155</v>
      </c>
      <c r="G125" s="422" t="s">
        <v>82</v>
      </c>
      <c r="H125" s="2" t="s">
        <v>1166</v>
      </c>
      <c r="I125" s="2" t="s">
        <v>260</v>
      </c>
      <c r="J125" s="2" t="s">
        <v>47</v>
      </c>
      <c r="K125" s="150">
        <v>46300</v>
      </c>
      <c r="L125" s="2" t="s">
        <v>1167</v>
      </c>
      <c r="M125" s="2" t="s">
        <v>1168</v>
      </c>
      <c r="N125" s="100"/>
      <c r="O125" s="100" t="s">
        <v>1169</v>
      </c>
      <c r="P125" s="100" t="s">
        <v>868</v>
      </c>
      <c r="Q125" s="100" t="s">
        <v>574</v>
      </c>
      <c r="R125" s="2"/>
      <c r="S125" s="2" t="s">
        <v>1160</v>
      </c>
      <c r="T125" s="2"/>
      <c r="U125" s="472"/>
      <c r="V125" s="2"/>
      <c r="W125" s="2"/>
      <c r="X125" s="422" t="s">
        <v>1170</v>
      </c>
      <c r="Y125" s="422" t="s">
        <v>58</v>
      </c>
      <c r="Z125" s="215" t="s">
        <v>1171</v>
      </c>
      <c r="AA125" s="2"/>
      <c r="AB125" s="2"/>
      <c r="AC125" s="2"/>
      <c r="AD125" s="2"/>
      <c r="AE125" s="32"/>
      <c r="AF125" s="376"/>
      <c r="AG125" s="376"/>
      <c r="AH125" s="376"/>
      <c r="AI125" s="376"/>
      <c r="AJ125" s="376"/>
      <c r="AK125" s="376"/>
      <c r="AL125" s="376"/>
      <c r="AM125" s="376"/>
    </row>
    <row r="126" spans="1:39" ht="105" x14ac:dyDescent="0.2">
      <c r="A126" s="376"/>
      <c r="B126" s="464" t="s">
        <v>1172</v>
      </c>
      <c r="C126" s="164" t="s">
        <v>1173</v>
      </c>
      <c r="D126" s="422" t="s">
        <v>1174</v>
      </c>
      <c r="E126" s="2" t="s">
        <v>1175</v>
      </c>
      <c r="F126" s="6" t="s">
        <v>1155</v>
      </c>
      <c r="G126" s="422" t="s">
        <v>82</v>
      </c>
      <c r="H126" s="2" t="s">
        <v>1166</v>
      </c>
      <c r="I126" s="2" t="s">
        <v>260</v>
      </c>
      <c r="J126" s="2" t="s">
        <v>47</v>
      </c>
      <c r="K126" s="150">
        <v>46300</v>
      </c>
      <c r="L126" s="2" t="s">
        <v>1176</v>
      </c>
      <c r="M126" s="2" t="s">
        <v>1168</v>
      </c>
      <c r="N126" s="100"/>
      <c r="O126" s="100" t="s">
        <v>481</v>
      </c>
      <c r="P126" s="100" t="s">
        <v>868</v>
      </c>
      <c r="Q126" s="100" t="s">
        <v>574</v>
      </c>
      <c r="R126" s="2"/>
      <c r="S126" s="2" t="s">
        <v>1160</v>
      </c>
      <c r="T126" s="2"/>
      <c r="U126" s="472"/>
      <c r="V126" s="2"/>
      <c r="W126" s="2"/>
      <c r="X126" s="422" t="s">
        <v>1177</v>
      </c>
      <c r="Y126" s="422" t="s">
        <v>109</v>
      </c>
      <c r="Z126" s="215" t="s">
        <v>1178</v>
      </c>
      <c r="AA126" s="2"/>
      <c r="AB126" s="2"/>
      <c r="AC126" s="2"/>
      <c r="AD126" s="2"/>
      <c r="AE126" s="32"/>
      <c r="AF126" s="376"/>
      <c r="AG126" s="376"/>
      <c r="AH126" s="376"/>
      <c r="AI126" s="376"/>
      <c r="AJ126" s="376"/>
      <c r="AK126" s="376"/>
      <c r="AL126" s="376"/>
      <c r="AM126" s="376"/>
    </row>
    <row r="127" spans="1:39" ht="409.5" x14ac:dyDescent="0.2">
      <c r="A127" s="376"/>
      <c r="B127" s="464" t="s">
        <v>1179</v>
      </c>
      <c r="C127" s="164" t="s">
        <v>1180</v>
      </c>
      <c r="D127" s="409" t="s">
        <v>1069</v>
      </c>
      <c r="E127" s="2" t="s">
        <v>1181</v>
      </c>
      <c r="F127" s="2" t="s">
        <v>1182</v>
      </c>
      <c r="G127" s="422" t="s">
        <v>82</v>
      </c>
      <c r="H127" s="2" t="s">
        <v>960</v>
      </c>
      <c r="I127" s="2" t="s">
        <v>1144</v>
      </c>
      <c r="J127" s="2" t="s">
        <v>1183</v>
      </c>
      <c r="K127" s="150">
        <v>46300</v>
      </c>
      <c r="L127" s="2" t="s">
        <v>1184</v>
      </c>
      <c r="M127" s="2" t="s">
        <v>1185</v>
      </c>
      <c r="N127" s="100" t="s">
        <v>1186</v>
      </c>
      <c r="O127" s="100" t="s">
        <v>574</v>
      </c>
      <c r="P127" s="100" t="s">
        <v>574</v>
      </c>
      <c r="Q127" s="100" t="s">
        <v>887</v>
      </c>
      <c r="R127" s="2"/>
      <c r="S127" s="2" t="s">
        <v>1022</v>
      </c>
      <c r="T127" s="2"/>
      <c r="U127" s="472"/>
      <c r="V127" s="2"/>
      <c r="W127" s="2"/>
      <c r="X127" s="422" t="s">
        <v>1187</v>
      </c>
      <c r="Y127" s="409" t="s">
        <v>147</v>
      </c>
      <c r="Z127" s="215" t="s">
        <v>1188</v>
      </c>
      <c r="AA127" s="2"/>
      <c r="AB127" s="2"/>
      <c r="AC127" s="2"/>
      <c r="AD127" s="2"/>
      <c r="AE127" s="32"/>
      <c r="AF127" s="376"/>
      <c r="AG127" s="376"/>
      <c r="AH127" s="376"/>
      <c r="AI127" s="376"/>
      <c r="AJ127" s="376"/>
      <c r="AK127" s="376"/>
      <c r="AL127" s="376"/>
      <c r="AM127" s="376"/>
    </row>
    <row r="128" spans="1:39" ht="150" x14ac:dyDescent="0.2">
      <c r="A128" s="376"/>
      <c r="B128" s="482" t="s">
        <v>1189</v>
      </c>
      <c r="C128" s="482" t="s">
        <v>1190</v>
      </c>
      <c r="D128" s="485" t="s">
        <v>294</v>
      </c>
      <c r="E128" s="487" t="s">
        <v>1191</v>
      </c>
      <c r="F128" s="483" t="s">
        <v>2676</v>
      </c>
      <c r="G128" s="485" t="s">
        <v>82</v>
      </c>
      <c r="H128" s="487" t="s">
        <v>285</v>
      </c>
      <c r="I128" s="487" t="s">
        <v>260</v>
      </c>
      <c r="J128" s="487" t="s">
        <v>47</v>
      </c>
      <c r="K128" s="491">
        <v>46300</v>
      </c>
      <c r="L128" s="487" t="s">
        <v>1192</v>
      </c>
      <c r="M128" s="487" t="s">
        <v>1193</v>
      </c>
      <c r="N128" s="492" t="s">
        <v>1194</v>
      </c>
      <c r="O128" s="492" t="s">
        <v>1195</v>
      </c>
      <c r="P128" s="492" t="s">
        <v>868</v>
      </c>
      <c r="Q128" s="492" t="s">
        <v>574</v>
      </c>
      <c r="R128" s="487"/>
      <c r="S128" s="487" t="s">
        <v>1160</v>
      </c>
      <c r="T128" s="487" t="s">
        <v>492</v>
      </c>
      <c r="U128" s="493"/>
      <c r="V128" s="487"/>
      <c r="W128" s="487" t="s">
        <v>2677</v>
      </c>
      <c r="X128" s="485" t="s">
        <v>303</v>
      </c>
      <c r="Y128" s="485" t="s">
        <v>147</v>
      </c>
      <c r="Z128" s="494" t="s">
        <v>1196</v>
      </c>
      <c r="AA128" s="487"/>
      <c r="AB128" s="487"/>
      <c r="AC128" s="487"/>
      <c r="AD128" s="487"/>
      <c r="AE128" s="32"/>
      <c r="AF128" s="376"/>
      <c r="AG128" s="376"/>
      <c r="AH128" s="376"/>
      <c r="AI128" s="376"/>
      <c r="AJ128" s="376"/>
      <c r="AK128" s="376"/>
      <c r="AL128" s="376"/>
      <c r="AM128" s="376"/>
    </row>
    <row r="129" spans="1:39" x14ac:dyDescent="0.2">
      <c r="A129" s="376"/>
      <c r="B129" s="464"/>
      <c r="C129" s="164"/>
      <c r="D129" s="422"/>
      <c r="E129" s="2"/>
      <c r="F129" s="6"/>
      <c r="G129" s="422"/>
      <c r="H129" s="2"/>
      <c r="I129" s="2"/>
      <c r="J129" s="2"/>
      <c r="K129" s="150"/>
      <c r="L129" s="2"/>
      <c r="M129" s="2"/>
      <c r="N129" s="100"/>
      <c r="O129" s="100"/>
      <c r="P129" s="100"/>
      <c r="Q129" s="100"/>
      <c r="R129" s="2"/>
      <c r="S129" s="2"/>
      <c r="T129" s="2"/>
      <c r="U129" s="472"/>
      <c r="V129" s="2"/>
      <c r="W129" s="2"/>
      <c r="X129" s="422"/>
      <c r="Y129" s="422"/>
      <c r="Z129" s="215"/>
      <c r="AA129" s="2"/>
      <c r="AB129" s="2"/>
      <c r="AC129" s="2"/>
      <c r="AD129" s="2"/>
      <c r="AE129" s="32"/>
      <c r="AF129" s="376"/>
      <c r="AG129" s="376"/>
      <c r="AH129" s="376"/>
      <c r="AI129" s="376"/>
      <c r="AJ129" s="376"/>
      <c r="AK129" s="376"/>
      <c r="AL129" s="376"/>
      <c r="AM129" s="376"/>
    </row>
    <row r="130" spans="1:39" x14ac:dyDescent="0.2">
      <c r="A130" s="376"/>
      <c r="B130" s="464"/>
      <c r="C130" s="164"/>
      <c r="D130" s="422"/>
      <c r="E130" s="2"/>
      <c r="F130" s="6"/>
      <c r="G130" s="422"/>
      <c r="H130" s="2"/>
      <c r="I130" s="2"/>
      <c r="J130" s="2"/>
      <c r="K130" s="150"/>
      <c r="L130" s="2"/>
      <c r="M130" s="2"/>
      <c r="N130" s="100"/>
      <c r="O130" s="100"/>
      <c r="P130" s="100"/>
      <c r="Q130" s="100"/>
      <c r="R130" s="2"/>
      <c r="S130" s="2"/>
      <c r="T130" s="2"/>
      <c r="U130" s="472"/>
      <c r="V130" s="2"/>
      <c r="W130" s="2"/>
      <c r="X130" s="422"/>
      <c r="Y130" s="422"/>
      <c r="Z130" s="215"/>
      <c r="AA130" s="2"/>
      <c r="AB130" s="2"/>
      <c r="AC130" s="2"/>
      <c r="AD130" s="2"/>
      <c r="AE130" s="32"/>
      <c r="AF130" s="376"/>
      <c r="AG130" s="376"/>
      <c r="AH130" s="376"/>
      <c r="AI130" s="376"/>
      <c r="AJ130" s="376"/>
      <c r="AK130" s="376"/>
      <c r="AL130" s="376"/>
      <c r="AM130" s="376"/>
    </row>
    <row r="131" spans="1:39" x14ac:dyDescent="0.2">
      <c r="A131" s="376"/>
      <c r="B131" s="32" t="s">
        <v>61</v>
      </c>
      <c r="C131" s="32" t="s">
        <v>61</v>
      </c>
      <c r="D131" s="32" t="s">
        <v>61</v>
      </c>
      <c r="E131" s="32" t="s">
        <v>61</v>
      </c>
      <c r="F131" s="32" t="s">
        <v>61</v>
      </c>
      <c r="G131" s="32" t="s">
        <v>61</v>
      </c>
      <c r="H131" s="32" t="s">
        <v>61</v>
      </c>
      <c r="I131" s="32" t="s">
        <v>61</v>
      </c>
      <c r="J131" s="32" t="s">
        <v>61</v>
      </c>
      <c r="K131" s="32" t="s">
        <v>61</v>
      </c>
      <c r="L131" s="32" t="s">
        <v>61</v>
      </c>
      <c r="M131" s="32" t="s">
        <v>61</v>
      </c>
      <c r="N131" s="418" t="s">
        <v>61</v>
      </c>
      <c r="O131" s="32" t="s">
        <v>61</v>
      </c>
      <c r="P131" s="32" t="s">
        <v>61</v>
      </c>
      <c r="Q131" s="32" t="s">
        <v>61</v>
      </c>
      <c r="R131" s="32" t="s">
        <v>61</v>
      </c>
      <c r="S131" s="32" t="s">
        <v>61</v>
      </c>
      <c r="T131" s="32" t="s">
        <v>61</v>
      </c>
      <c r="U131" s="32" t="s">
        <v>61</v>
      </c>
      <c r="V131" s="32" t="s">
        <v>61</v>
      </c>
      <c r="W131" s="32" t="s">
        <v>61</v>
      </c>
      <c r="X131" s="32" t="s">
        <v>61</v>
      </c>
      <c r="Y131" s="32" t="s">
        <v>61</v>
      </c>
      <c r="Z131" s="32" t="s">
        <v>61</v>
      </c>
      <c r="AA131" s="32" t="s">
        <v>61</v>
      </c>
      <c r="AB131" s="418" t="s">
        <v>61</v>
      </c>
      <c r="AC131" s="32" t="s">
        <v>61</v>
      </c>
      <c r="AD131" s="32" t="s">
        <v>61</v>
      </c>
      <c r="AE131" s="41" t="s">
        <v>61</v>
      </c>
      <c r="AF131" s="376"/>
      <c r="AG131" s="376"/>
      <c r="AH131" s="376"/>
      <c r="AI131" s="376"/>
      <c r="AJ131" s="376"/>
      <c r="AK131" s="376"/>
      <c r="AL131" s="376"/>
      <c r="AM131" s="376"/>
    </row>
    <row r="132" spans="1:39" x14ac:dyDescent="0.2">
      <c r="B132" s="418"/>
      <c r="C132" s="418"/>
      <c r="D132" s="419"/>
      <c r="E132" s="419"/>
      <c r="F132" s="419"/>
      <c r="G132" s="419"/>
      <c r="H132" s="419"/>
      <c r="I132" s="419"/>
      <c r="J132" s="419"/>
      <c r="K132" s="420"/>
      <c r="L132" s="419"/>
      <c r="M132" s="419"/>
      <c r="N132" s="419"/>
      <c r="O132" s="419"/>
      <c r="P132" s="419"/>
      <c r="Q132" s="419"/>
      <c r="R132" s="419"/>
      <c r="S132" s="419"/>
      <c r="T132" s="419"/>
      <c r="U132" s="421"/>
      <c r="V132" s="419"/>
      <c r="W132" s="419"/>
      <c r="X132" s="419"/>
      <c r="Y132" s="419"/>
      <c r="Z132" s="419"/>
      <c r="AA132" s="419"/>
      <c r="AB132" s="419"/>
      <c r="AC132" s="419"/>
      <c r="AD132" s="419"/>
      <c r="AE132" s="41" t="s">
        <v>61</v>
      </c>
    </row>
    <row r="133" spans="1:39" x14ac:dyDescent="0.2">
      <c r="B133" s="32"/>
      <c r="C133" s="32"/>
      <c r="D133" s="32"/>
      <c r="E133" s="32"/>
      <c r="F133" s="32"/>
      <c r="G133" s="32"/>
      <c r="H133" s="32"/>
      <c r="I133" s="32"/>
      <c r="J133" s="32"/>
      <c r="K133" s="32"/>
      <c r="L133" s="32"/>
      <c r="M133" s="32"/>
      <c r="N133" s="418"/>
      <c r="O133" s="32"/>
      <c r="P133" s="32"/>
      <c r="Q133" s="32"/>
      <c r="R133" s="32"/>
      <c r="S133" s="32"/>
      <c r="T133" s="32"/>
      <c r="U133" s="32"/>
      <c r="V133" s="32"/>
      <c r="W133" s="32"/>
      <c r="X133" s="32"/>
      <c r="Y133" s="32"/>
      <c r="Z133" s="32"/>
      <c r="AA133" s="32"/>
      <c r="AB133" s="418"/>
      <c r="AC133" s="32"/>
      <c r="AD133" s="32"/>
      <c r="AE133" s="41"/>
    </row>
    <row r="134" spans="1:39" x14ac:dyDescent="0.2">
      <c r="B134" s="32"/>
      <c r="C134" s="32"/>
      <c r="D134" s="32"/>
      <c r="E134" s="32"/>
      <c r="F134" s="32"/>
      <c r="G134" s="32"/>
      <c r="H134" s="32"/>
      <c r="I134" s="32"/>
      <c r="J134" s="32"/>
      <c r="K134" s="32"/>
      <c r="L134" s="32"/>
      <c r="M134" s="32"/>
      <c r="N134" s="418"/>
      <c r="O134" s="32"/>
      <c r="P134" s="32"/>
      <c r="Q134" s="32"/>
      <c r="R134" s="32"/>
      <c r="S134" s="32"/>
      <c r="T134" s="32"/>
      <c r="U134" s="32"/>
      <c r="V134" s="32"/>
      <c r="W134" s="32"/>
      <c r="X134" s="32"/>
      <c r="Y134" s="32"/>
      <c r="Z134" s="32"/>
      <c r="AA134" s="32"/>
      <c r="AB134" s="418"/>
      <c r="AC134" s="32"/>
      <c r="AD134" s="32"/>
      <c r="AE134" s="41"/>
    </row>
    <row r="198" spans="24:24" x14ac:dyDescent="0.2">
      <c r="X198" s="419"/>
    </row>
  </sheetData>
  <autoFilter ref="A4:AM4" xr:uid="{3EA98D88-FC5C-4105-B74F-738F55AF7201}"/>
  <phoneticPr fontId="2"/>
  <conditionalFormatting sqref="C5:AD66 C92:C131">
    <cfRule type="expression" dxfId="18" priority="13">
      <formula>$T5="取り下げ"</formula>
    </cfRule>
  </conditionalFormatting>
  <conditionalFormatting sqref="C68:AD91">
    <cfRule type="expression" dxfId="17" priority="1">
      <formula>$T68="取り下げ"</formula>
    </cfRule>
  </conditionalFormatting>
  <conditionalFormatting sqref="D100:D114 C132:AD154">
    <cfRule type="expression" dxfId="16" priority="32">
      <formula>$T100="取り下げ"</formula>
    </cfRule>
  </conditionalFormatting>
  <conditionalFormatting sqref="D127">
    <cfRule type="expression" dxfId="15" priority="3">
      <formula>$T127="取り下げ"</formula>
    </cfRule>
  </conditionalFormatting>
  <conditionalFormatting sqref="E105:E108">
    <cfRule type="expression" dxfId="14" priority="29">
      <formula>$T105="取り下げ"</formula>
    </cfRule>
  </conditionalFormatting>
  <conditionalFormatting sqref="M93:M98">
    <cfRule type="expression" dxfId="13" priority="31">
      <formula>$T93="取り下げ"</formula>
    </cfRule>
  </conditionalFormatting>
  <conditionalFormatting sqref="N116:N117">
    <cfRule type="expression" dxfId="12" priority="15">
      <formula>$T116="取り下げ"</formula>
    </cfRule>
  </conditionalFormatting>
  <conditionalFormatting sqref="N119 Q119">
    <cfRule type="expression" dxfId="11" priority="12">
      <formula>$T119="取り下げ"</formula>
    </cfRule>
  </conditionalFormatting>
  <conditionalFormatting sqref="N114:Q115">
    <cfRule type="expression" dxfId="10" priority="25">
      <formula>$T114="取り下げ"</formula>
    </cfRule>
  </conditionalFormatting>
  <conditionalFormatting sqref="N118:Q118">
    <cfRule type="expression" dxfId="9" priority="14">
      <formula>$T118="取り下げ"</formula>
    </cfRule>
  </conditionalFormatting>
  <conditionalFormatting sqref="N120:Q130">
    <cfRule type="expression" dxfId="8" priority="5">
      <formula>$T120="取り下げ"</formula>
    </cfRule>
  </conditionalFormatting>
  <conditionalFormatting sqref="S114:S130">
    <cfRule type="expression" dxfId="7" priority="7">
      <formula>$T114="取り下げ"</formula>
    </cfRule>
  </conditionalFormatting>
  <conditionalFormatting sqref="S106:T107">
    <cfRule type="expression" dxfId="6" priority="8">
      <formula>$T106="取り下げ"</formula>
    </cfRule>
  </conditionalFormatting>
  <conditionalFormatting sqref="X114:Y114">
    <cfRule type="expression" dxfId="5" priority="23">
      <formula>$T114="取り下げ"</formula>
    </cfRule>
  </conditionalFormatting>
  <conditionalFormatting sqref="Y127">
    <cfRule type="expression" dxfId="4" priority="2">
      <formula>$T127="取り下げ"</formula>
    </cfRule>
  </conditionalFormatting>
  <conditionalFormatting sqref="Z106">
    <cfRule type="expression" dxfId="3" priority="28">
      <formula>$T106="取り下げ"</formula>
    </cfRule>
  </conditionalFormatting>
  <pageMargins left="0.25" right="0.25" top="0.75" bottom="0.75" header="0.3" footer="0.3"/>
  <pageSetup paperSize="8" scale="26" fitToHeight="0"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661DF65D-D1E7-45E4-8908-AB2741C47615}">
          <x14:formula1>
            <xm:f>リスト!$E$3:$E$7</xm:f>
          </x14:formula1>
          <xm:sqref>G68:G69 G90:G91 G32:G66 G5:G30</xm:sqref>
        </x14:dataValidation>
        <x14:dataValidation type="list" allowBlank="1" showInputMessage="1" showErrorMessage="1" xr:uid="{C1F15EFE-4D40-42FC-8046-EBB21E361796}">
          <x14:formula1>
            <xm:f>リスト!$F$3:$F$12</xm:f>
          </x14:formula1>
          <xm:sqref>H68:H91 H32:H66 H5:H30</xm:sqref>
        </x14:dataValidation>
        <x14:dataValidation type="list" allowBlank="1" showInputMessage="1" showErrorMessage="1" xr:uid="{A4C9A4A8-A1E8-4349-AF6C-A62904F00CDE}">
          <x14:formula1>
            <xm:f>リスト!$G$3:$G$4</xm:f>
          </x14:formula1>
          <xm:sqref>I68:I91 I32:I66 I5:I30</xm:sqref>
        </x14:dataValidation>
        <x14:dataValidation type="list" allowBlank="1" showInputMessage="1" showErrorMessage="1" xr:uid="{DA09BF7B-A9CC-40AA-9B88-D778C04874B9}">
          <x14:formula1>
            <xm:f>リスト!$N$3:$N$7</xm:f>
          </x14:formula1>
          <xm:sqref>Q68:Q91 Q5:Q7 Q32:Q66 Q114:Q115 Q121:Q122 Q15:Q30</xm:sqref>
        </x14:dataValidation>
        <x14:dataValidation type="list" allowBlank="1" showInputMessage="1" showErrorMessage="1" xr:uid="{4B50E630-2376-4E0A-9775-AA6833BBF187}">
          <x14:formula1>
            <xm:f>リスト!$C$3:$C$22</xm:f>
          </x14:formula1>
          <xm:sqref>D68:D69 D90:D91 D32:D66 D100:D102 D109:D114 D5:D30 D127</xm:sqref>
        </x14:dataValidation>
        <x14:dataValidation type="list" allowBlank="1" showInputMessage="1" showErrorMessage="1" xr:uid="{77E30A25-1198-421C-B775-C67543EC6E37}">
          <x14:formula1>
            <xm:f>リスト!$AB$3:$AB$9</xm:f>
          </x14:formula1>
          <xm:sqref>Y68:Y84 Y86 Y90:Y91 Y5:Y30 Y114 Y32:Y66 Y127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6E006-4761-4051-B39E-75773F4901A6}">
  <dimension ref="B4:C6"/>
  <sheetViews>
    <sheetView workbookViewId="0">
      <selection activeCell="B4" sqref="B4:C6"/>
    </sheetView>
  </sheetViews>
  <sheetFormatPr defaultRowHeight="13" x14ac:dyDescent="0.2"/>
  <cols>
    <col min="1" max="1" width="9.08984375" bestFit="1" customWidth="1"/>
    <col min="2" max="2" width="20.36328125" customWidth="1"/>
    <col min="3" max="3" width="51.90625" customWidth="1"/>
  </cols>
  <sheetData>
    <row r="4" spans="2:3" x14ac:dyDescent="0.2">
      <c r="B4" s="465" t="s">
        <v>1197</v>
      </c>
      <c r="C4" s="465" t="s">
        <v>1198</v>
      </c>
    </row>
    <row r="5" spans="2:3" x14ac:dyDescent="0.2">
      <c r="B5" s="466">
        <v>20250401</v>
      </c>
      <c r="C5" s="466">
        <v>20250603</v>
      </c>
    </row>
    <row r="6" spans="2:3" x14ac:dyDescent="0.2">
      <c r="B6" s="466">
        <v>20240709</v>
      </c>
      <c r="C6" s="466">
        <v>20250207</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92426-ED25-4F51-B805-85186888463E}">
  <sheetPr codeName="Sheet2">
    <pageSetUpPr fitToPage="1"/>
  </sheetPr>
  <dimension ref="B2:AH79"/>
  <sheetViews>
    <sheetView topLeftCell="F1" zoomScale="102" zoomScaleNormal="115" workbookViewId="0">
      <selection activeCell="C17" sqref="C17"/>
    </sheetView>
  </sheetViews>
  <sheetFormatPr defaultRowHeight="13" x14ac:dyDescent="0.2"/>
  <cols>
    <col min="3" max="3" width="28.08984375" customWidth="1"/>
    <col min="5" max="5" width="11.08984375" customWidth="1"/>
    <col min="6" max="6" width="30.08984375" customWidth="1"/>
  </cols>
  <sheetData>
    <row r="2" spans="2:34" s="26" customFormat="1" ht="120" x14ac:dyDescent="0.2">
      <c r="B2" s="25" t="s">
        <v>4</v>
      </c>
      <c r="C2" s="10" t="s">
        <v>6</v>
      </c>
      <c r="D2" s="10" t="s">
        <v>7</v>
      </c>
      <c r="E2" s="10" t="s">
        <v>9</v>
      </c>
      <c r="F2" s="10" t="s">
        <v>10</v>
      </c>
      <c r="G2" s="10" t="s">
        <v>1199</v>
      </c>
      <c r="H2" s="10" t="s">
        <v>12</v>
      </c>
      <c r="I2" s="10" t="s">
        <v>1200</v>
      </c>
      <c r="J2" s="10" t="s">
        <v>14</v>
      </c>
      <c r="K2" s="10" t="s">
        <v>1201</v>
      </c>
      <c r="L2" s="10" t="s">
        <v>1202</v>
      </c>
      <c r="M2" s="10" t="s">
        <v>1203</v>
      </c>
      <c r="N2" s="10" t="s">
        <v>19</v>
      </c>
      <c r="O2" s="10" t="s">
        <v>20</v>
      </c>
      <c r="P2" s="10" t="s">
        <v>1204</v>
      </c>
      <c r="Q2" s="11" t="s">
        <v>1205</v>
      </c>
      <c r="R2" s="11" t="s">
        <v>22</v>
      </c>
      <c r="S2" s="11" t="s">
        <v>23</v>
      </c>
      <c r="T2" s="11" t="s">
        <v>1206</v>
      </c>
      <c r="U2" s="11" t="s">
        <v>1207</v>
      </c>
      <c r="V2" s="12" t="s">
        <v>1208</v>
      </c>
      <c r="W2" s="12" t="s">
        <v>1209</v>
      </c>
      <c r="X2" s="12" t="s">
        <v>1210</v>
      </c>
      <c r="Y2" s="12" t="s">
        <v>1211</v>
      </c>
      <c r="Z2" s="12" t="s">
        <v>32</v>
      </c>
      <c r="AA2" s="13" t="s">
        <v>1212</v>
      </c>
      <c r="AB2" s="14" t="s">
        <v>27</v>
      </c>
      <c r="AC2" s="13" t="s">
        <v>1213</v>
      </c>
      <c r="AD2" s="13" t="s">
        <v>1214</v>
      </c>
      <c r="AE2" s="14" t="s">
        <v>1215</v>
      </c>
      <c r="AF2" s="13" t="s">
        <v>1216</v>
      </c>
      <c r="AG2" s="13" t="s">
        <v>1211</v>
      </c>
      <c r="AH2" s="13" t="s">
        <v>32</v>
      </c>
    </row>
    <row r="3" spans="2:34" s="7" customFormat="1" ht="30" x14ac:dyDescent="0.2">
      <c r="B3" s="17"/>
      <c r="C3" s="16" t="s">
        <v>348</v>
      </c>
      <c r="D3" s="16"/>
      <c r="E3" s="16" t="s">
        <v>97</v>
      </c>
      <c r="F3" s="16" t="s">
        <v>45</v>
      </c>
      <c r="G3" s="16" t="s">
        <v>46</v>
      </c>
      <c r="H3" s="16"/>
      <c r="I3" s="16"/>
      <c r="J3" s="16"/>
      <c r="K3" s="16"/>
      <c r="L3" s="16"/>
      <c r="M3" s="16"/>
      <c r="N3" s="16" t="s">
        <v>123</v>
      </c>
      <c r="O3" s="16" t="s">
        <v>197</v>
      </c>
      <c r="P3" s="16" t="s">
        <v>1217</v>
      </c>
      <c r="Q3" s="23"/>
      <c r="R3" s="16" t="s">
        <v>1218</v>
      </c>
      <c r="S3" s="16" t="s">
        <v>1219</v>
      </c>
      <c r="T3" s="23"/>
      <c r="U3" s="23"/>
      <c r="V3" s="16"/>
      <c r="W3" s="16"/>
      <c r="X3" s="16"/>
      <c r="Y3" s="16" t="s">
        <v>252</v>
      </c>
      <c r="Z3" s="16"/>
      <c r="AA3" s="24"/>
      <c r="AB3" s="16" t="s">
        <v>58</v>
      </c>
      <c r="AC3" s="24"/>
      <c r="AD3" s="24"/>
      <c r="AE3" s="24" t="s">
        <v>1220</v>
      </c>
      <c r="AF3" s="24"/>
      <c r="AG3" s="24" t="s">
        <v>252</v>
      </c>
      <c r="AH3" s="24"/>
    </row>
    <row r="4" spans="2:34" s="7" customFormat="1" ht="30" x14ac:dyDescent="0.2">
      <c r="B4" s="17"/>
      <c r="C4" s="16" t="s">
        <v>1069</v>
      </c>
      <c r="D4" s="16"/>
      <c r="E4" s="16" t="s">
        <v>82</v>
      </c>
      <c r="F4" s="16" t="s">
        <v>1221</v>
      </c>
      <c r="G4" s="16" t="s">
        <v>162</v>
      </c>
      <c r="H4" s="16"/>
      <c r="I4" s="16"/>
      <c r="J4" s="16"/>
      <c r="K4" s="16"/>
      <c r="L4" s="16"/>
      <c r="M4" s="16"/>
      <c r="N4" s="16" t="s">
        <v>87</v>
      </c>
      <c r="O4" s="16" t="s">
        <v>1222</v>
      </c>
      <c r="P4" s="16" t="s">
        <v>1223</v>
      </c>
      <c r="Q4" s="23"/>
      <c r="R4" s="16" t="s">
        <v>89</v>
      </c>
      <c r="S4" s="16" t="s">
        <v>1224</v>
      </c>
      <c r="T4" s="23"/>
      <c r="U4" s="23"/>
      <c r="V4" s="16"/>
      <c r="W4" s="16"/>
      <c r="X4" s="16"/>
      <c r="Y4" s="16" t="s">
        <v>1225</v>
      </c>
      <c r="Z4" s="16"/>
      <c r="AA4" s="24"/>
      <c r="AB4" s="16" t="s">
        <v>109</v>
      </c>
      <c r="AC4" s="24"/>
      <c r="AD4" s="24"/>
      <c r="AE4" s="24" t="s">
        <v>109</v>
      </c>
      <c r="AF4" s="24"/>
      <c r="AG4" s="24" t="s">
        <v>1225</v>
      </c>
      <c r="AH4" s="24"/>
    </row>
    <row r="5" spans="2:34" s="7" customFormat="1" ht="75" x14ac:dyDescent="0.2">
      <c r="B5" s="17"/>
      <c r="C5" s="16" t="s">
        <v>1226</v>
      </c>
      <c r="D5" s="16"/>
      <c r="E5" s="16" t="s">
        <v>1227</v>
      </c>
      <c r="F5" s="16" t="s">
        <v>259</v>
      </c>
      <c r="G5" s="16"/>
      <c r="H5" s="16"/>
      <c r="I5" s="16"/>
      <c r="J5" s="16"/>
      <c r="K5" s="16"/>
      <c r="L5" s="16"/>
      <c r="M5" s="16"/>
      <c r="N5" s="16" t="s">
        <v>73</v>
      </c>
      <c r="O5" s="16"/>
      <c r="P5" s="16" t="s">
        <v>1228</v>
      </c>
      <c r="Q5" s="23"/>
      <c r="R5" s="16" t="s">
        <v>55</v>
      </c>
      <c r="S5" s="16" t="s">
        <v>1229</v>
      </c>
      <c r="T5" s="23"/>
      <c r="U5" s="23"/>
      <c r="V5" s="16"/>
      <c r="W5" s="16"/>
      <c r="X5" s="16"/>
      <c r="Y5" s="16" t="s">
        <v>1218</v>
      </c>
      <c r="Z5" s="16"/>
      <c r="AA5" s="24"/>
      <c r="AB5" s="16" t="s">
        <v>147</v>
      </c>
      <c r="AC5" s="24"/>
      <c r="AD5" s="24"/>
      <c r="AE5" s="24" t="s">
        <v>563</v>
      </c>
      <c r="AF5" s="24"/>
      <c r="AG5" s="24" t="s">
        <v>1218</v>
      </c>
      <c r="AH5" s="24"/>
    </row>
    <row r="6" spans="2:34" s="7" customFormat="1" ht="30" x14ac:dyDescent="0.2">
      <c r="B6" s="17"/>
      <c r="C6" s="16" t="s">
        <v>1230</v>
      </c>
      <c r="D6" s="16"/>
      <c r="E6" s="16" t="s">
        <v>271</v>
      </c>
      <c r="F6" s="16" t="s">
        <v>1231</v>
      </c>
      <c r="G6" s="16"/>
      <c r="H6" s="16"/>
      <c r="I6" s="16"/>
      <c r="J6" s="16"/>
      <c r="K6" s="16"/>
      <c r="L6" s="16"/>
      <c r="M6" s="16"/>
      <c r="N6" s="16" t="s">
        <v>1232</v>
      </c>
      <c r="O6" s="23"/>
      <c r="P6" s="16" t="s">
        <v>1233</v>
      </c>
      <c r="Q6" s="23"/>
      <c r="R6" s="16" t="s">
        <v>1234</v>
      </c>
      <c r="S6" s="16"/>
      <c r="T6" s="23"/>
      <c r="U6" s="23"/>
      <c r="V6" s="16"/>
      <c r="W6" s="16"/>
      <c r="X6" s="16"/>
      <c r="Y6" s="16"/>
      <c r="Z6" s="16"/>
      <c r="AA6" s="24"/>
      <c r="AB6" s="16" t="s">
        <v>455</v>
      </c>
      <c r="AC6" s="24"/>
      <c r="AD6" s="24"/>
      <c r="AE6" s="24" t="s">
        <v>1235</v>
      </c>
      <c r="AF6" s="24"/>
      <c r="AG6" s="24"/>
      <c r="AH6" s="24"/>
    </row>
    <row r="7" spans="2:34" s="7" customFormat="1" ht="45" x14ac:dyDescent="0.2">
      <c r="B7" s="17"/>
      <c r="C7" s="16" t="s">
        <v>373</v>
      </c>
      <c r="D7" s="16"/>
      <c r="E7" s="16" t="s">
        <v>486</v>
      </c>
      <c r="F7" s="16" t="s">
        <v>285</v>
      </c>
      <c r="G7" s="16"/>
      <c r="H7" s="16"/>
      <c r="I7" s="16"/>
      <c r="J7" s="16"/>
      <c r="K7" s="16"/>
      <c r="L7" s="16"/>
      <c r="M7" s="16"/>
      <c r="N7" s="16" t="s">
        <v>1236</v>
      </c>
      <c r="O7" s="16"/>
      <c r="P7" s="16" t="s">
        <v>1237</v>
      </c>
      <c r="Q7" s="23"/>
      <c r="R7" s="16" t="s">
        <v>1238</v>
      </c>
      <c r="S7" s="16"/>
      <c r="T7" s="23"/>
      <c r="U7" s="23"/>
      <c r="V7" s="16"/>
      <c r="W7" s="16"/>
      <c r="X7" s="16"/>
      <c r="Y7" s="16"/>
      <c r="Z7" s="16"/>
      <c r="AA7" s="24"/>
      <c r="AB7" s="16" t="s">
        <v>200</v>
      </c>
      <c r="AC7" s="24"/>
      <c r="AD7" s="24"/>
      <c r="AE7" s="24"/>
      <c r="AF7" s="24"/>
      <c r="AG7" s="24"/>
      <c r="AH7" s="24"/>
    </row>
    <row r="8" spans="2:34" s="7" customFormat="1" ht="45" x14ac:dyDescent="0.2">
      <c r="B8" s="17"/>
      <c r="C8" s="16" t="s">
        <v>579</v>
      </c>
      <c r="D8" s="16"/>
      <c r="E8" s="16"/>
      <c r="F8" s="16" t="s">
        <v>243</v>
      </c>
      <c r="G8" s="16"/>
      <c r="H8" s="16"/>
      <c r="I8" s="16"/>
      <c r="J8" s="16"/>
      <c r="K8" s="16"/>
      <c r="L8" s="16"/>
      <c r="M8" s="16"/>
      <c r="N8" s="16"/>
      <c r="O8" s="16"/>
      <c r="P8" s="16" t="s">
        <v>1239</v>
      </c>
      <c r="Q8" s="23"/>
      <c r="R8" s="23"/>
      <c r="S8" s="16"/>
      <c r="T8" s="23"/>
      <c r="U8" s="23"/>
      <c r="V8" s="16"/>
      <c r="W8" s="16"/>
      <c r="X8" s="16"/>
      <c r="Y8" s="16"/>
      <c r="Z8" s="16"/>
      <c r="AA8" s="24"/>
      <c r="AB8" s="16" t="s">
        <v>1240</v>
      </c>
      <c r="AC8" s="24"/>
      <c r="AD8" s="24"/>
      <c r="AE8" s="24"/>
      <c r="AF8" s="24"/>
      <c r="AG8" s="24"/>
      <c r="AH8" s="24"/>
    </row>
    <row r="9" spans="2:34" s="7" customFormat="1" ht="45" x14ac:dyDescent="0.2">
      <c r="B9" s="17"/>
      <c r="C9" s="31" t="s">
        <v>391</v>
      </c>
      <c r="D9" s="16"/>
      <c r="E9" s="16"/>
      <c r="F9" s="16" t="s">
        <v>161</v>
      </c>
      <c r="G9" s="16"/>
      <c r="H9" s="16"/>
      <c r="I9" s="16"/>
      <c r="J9" s="16"/>
      <c r="K9" s="16"/>
      <c r="L9" s="16"/>
      <c r="M9" s="16"/>
      <c r="N9" s="16"/>
      <c r="O9" s="16"/>
      <c r="P9" s="16"/>
      <c r="Q9" s="23"/>
      <c r="R9" s="23"/>
      <c r="S9" s="16"/>
      <c r="T9" s="23"/>
      <c r="U9" s="23"/>
      <c r="V9" s="16"/>
      <c r="W9" s="16"/>
      <c r="X9" s="16"/>
      <c r="Y9" s="16"/>
      <c r="Z9" s="16"/>
      <c r="AA9" s="24"/>
      <c r="AB9" s="16" t="s">
        <v>744</v>
      </c>
      <c r="AC9" s="24"/>
      <c r="AD9" s="24"/>
      <c r="AE9" s="24"/>
      <c r="AF9" s="24"/>
      <c r="AG9" s="24"/>
      <c r="AH9" s="24"/>
    </row>
    <row r="10" spans="2:34" s="7" customFormat="1" ht="15" x14ac:dyDescent="0.2">
      <c r="B10" s="17"/>
      <c r="C10" s="31" t="s">
        <v>939</v>
      </c>
      <c r="D10" s="16"/>
      <c r="E10" s="16"/>
      <c r="F10" s="16" t="s">
        <v>510</v>
      </c>
      <c r="G10" s="16"/>
      <c r="H10" s="16"/>
      <c r="I10" s="16"/>
      <c r="J10" s="16"/>
      <c r="K10" s="16"/>
      <c r="L10" s="16"/>
      <c r="M10" s="16"/>
      <c r="N10" s="16"/>
      <c r="O10" s="16"/>
      <c r="P10" s="16"/>
      <c r="Q10" s="23"/>
      <c r="R10" s="23"/>
      <c r="S10" s="16"/>
      <c r="T10" s="23"/>
      <c r="U10" s="23"/>
      <c r="V10" s="16"/>
      <c r="W10" s="16"/>
      <c r="X10" s="16"/>
      <c r="Y10" s="16"/>
      <c r="Z10" s="16"/>
      <c r="AA10" s="24"/>
      <c r="AB10" s="16"/>
      <c r="AC10" s="24"/>
      <c r="AD10" s="24"/>
      <c r="AE10" s="24"/>
      <c r="AF10" s="24"/>
      <c r="AG10" s="24"/>
      <c r="AH10" s="24"/>
    </row>
    <row r="11" spans="2:34" ht="15" x14ac:dyDescent="0.2">
      <c r="B11" s="31"/>
      <c r="C11" s="31" t="s">
        <v>407</v>
      </c>
      <c r="D11" s="31"/>
      <c r="E11" s="31"/>
      <c r="F11" s="16" t="s">
        <v>1241</v>
      </c>
      <c r="G11" s="31"/>
      <c r="H11" s="31"/>
      <c r="I11" s="31"/>
      <c r="J11" s="31"/>
      <c r="K11" s="31"/>
      <c r="L11" s="31"/>
      <c r="M11" s="31"/>
      <c r="N11" s="16"/>
      <c r="O11" s="31"/>
      <c r="P11" s="16"/>
      <c r="Q11" s="31"/>
      <c r="R11" s="31"/>
      <c r="S11" s="24"/>
      <c r="T11" s="31"/>
      <c r="U11" s="31"/>
      <c r="V11" s="31"/>
      <c r="W11" s="31"/>
      <c r="X11" s="31"/>
      <c r="Y11" s="31"/>
      <c r="Z11" s="31"/>
      <c r="AA11" s="31"/>
      <c r="AB11" s="16"/>
      <c r="AC11" s="31"/>
      <c r="AD11" s="31"/>
      <c r="AE11" s="31"/>
      <c r="AF11" s="31"/>
      <c r="AG11" s="31"/>
      <c r="AH11" s="31"/>
    </row>
    <row r="12" spans="2:34" ht="15" x14ac:dyDescent="0.2">
      <c r="B12" s="31"/>
      <c r="C12" s="31" t="s">
        <v>1242</v>
      </c>
      <c r="D12" s="31"/>
      <c r="E12" s="31"/>
      <c r="F12" s="16" t="s">
        <v>272</v>
      </c>
      <c r="G12" s="31"/>
      <c r="H12" s="31"/>
      <c r="I12" s="31"/>
      <c r="J12" s="31"/>
      <c r="K12" s="31"/>
      <c r="L12" s="31"/>
      <c r="M12" s="31"/>
      <c r="N12" s="31"/>
      <c r="O12" s="31"/>
      <c r="P12" s="16"/>
      <c r="Q12" s="31"/>
      <c r="R12" s="31"/>
      <c r="S12" s="24"/>
      <c r="T12" s="31"/>
      <c r="U12" s="31"/>
      <c r="V12" s="31"/>
      <c r="W12" s="31"/>
      <c r="X12" s="31"/>
      <c r="Y12" s="31"/>
      <c r="Z12" s="31"/>
      <c r="AA12" s="31"/>
      <c r="AB12" s="16"/>
      <c r="AC12" s="31"/>
      <c r="AD12" s="31"/>
      <c r="AE12" s="31"/>
      <c r="AF12" s="31"/>
      <c r="AG12" s="31"/>
      <c r="AH12" s="31"/>
    </row>
    <row r="13" spans="2:34" ht="15" x14ac:dyDescent="0.2">
      <c r="B13" s="31"/>
      <c r="C13" s="16" t="s">
        <v>535</v>
      </c>
      <c r="D13" s="31"/>
      <c r="E13" s="31"/>
      <c r="F13" s="31"/>
      <c r="G13" s="31"/>
      <c r="H13" s="31"/>
      <c r="I13" s="31"/>
      <c r="J13" s="31"/>
      <c r="K13" s="31"/>
      <c r="L13" s="31"/>
      <c r="M13" s="31"/>
      <c r="N13" s="31"/>
      <c r="O13" s="31"/>
      <c r="P13" s="31"/>
      <c r="Q13" s="31"/>
      <c r="R13" s="31"/>
      <c r="S13" s="24"/>
      <c r="T13" s="31"/>
      <c r="U13" s="31"/>
      <c r="V13" s="31"/>
      <c r="W13" s="31"/>
      <c r="X13" s="31"/>
      <c r="Y13" s="31"/>
      <c r="Z13" s="31"/>
      <c r="AA13" s="31"/>
      <c r="AB13" s="16"/>
      <c r="AC13" s="31"/>
      <c r="AD13" s="31"/>
      <c r="AE13" s="31"/>
      <c r="AF13" s="31"/>
      <c r="AG13" s="31"/>
      <c r="AH13" s="31"/>
    </row>
    <row r="14" spans="2:34" ht="15" x14ac:dyDescent="0.2">
      <c r="B14" s="31"/>
      <c r="C14" s="16" t="s">
        <v>1243</v>
      </c>
      <c r="D14" s="31"/>
      <c r="E14" s="31"/>
      <c r="F14" s="31"/>
      <c r="G14" s="31"/>
      <c r="H14" s="31"/>
      <c r="I14" s="31"/>
      <c r="J14" s="31"/>
      <c r="K14" s="31"/>
      <c r="L14" s="31"/>
      <c r="M14" s="31"/>
      <c r="N14" s="31"/>
      <c r="O14" s="31"/>
      <c r="P14" s="31"/>
      <c r="Q14" s="31"/>
      <c r="R14" s="31"/>
      <c r="S14" s="24"/>
      <c r="T14" s="31"/>
      <c r="U14" s="31"/>
      <c r="V14" s="31"/>
      <c r="W14" s="31"/>
      <c r="X14" s="31"/>
      <c r="Y14" s="31"/>
      <c r="Z14" s="31"/>
      <c r="AA14" s="31"/>
      <c r="AB14" s="31"/>
      <c r="AC14" s="31"/>
      <c r="AD14" s="31"/>
      <c r="AE14" s="31"/>
      <c r="AF14" s="31"/>
      <c r="AG14" s="31"/>
      <c r="AH14" s="31"/>
    </row>
    <row r="15" spans="2:34" ht="15" x14ac:dyDescent="0.2">
      <c r="B15" s="31"/>
      <c r="C15" s="16" t="s">
        <v>325</v>
      </c>
      <c r="D15" s="31"/>
      <c r="E15" s="31"/>
      <c r="F15" s="31"/>
      <c r="G15" s="31"/>
      <c r="H15" s="31"/>
      <c r="I15" s="31"/>
      <c r="J15" s="31"/>
      <c r="K15" s="31"/>
      <c r="L15" s="31"/>
      <c r="M15" s="31"/>
      <c r="N15" s="31"/>
      <c r="O15" s="31"/>
      <c r="P15" s="31"/>
      <c r="Q15" s="31"/>
      <c r="R15" s="31"/>
      <c r="S15" s="24"/>
      <c r="T15" s="31"/>
      <c r="U15" s="31"/>
      <c r="V15" s="31"/>
      <c r="W15" s="31"/>
      <c r="X15" s="31"/>
      <c r="Y15" s="31"/>
      <c r="Z15" s="31"/>
      <c r="AA15" s="31"/>
      <c r="AB15" s="31"/>
      <c r="AC15" s="31"/>
      <c r="AD15" s="31"/>
      <c r="AE15" s="31"/>
      <c r="AF15" s="31"/>
      <c r="AG15" s="31"/>
      <c r="AH15" s="31"/>
    </row>
    <row r="16" spans="2:34" ht="15" x14ac:dyDescent="0.2">
      <c r="B16" s="31"/>
      <c r="C16" s="16" t="s">
        <v>1244</v>
      </c>
      <c r="D16" s="31"/>
      <c r="E16" s="31"/>
      <c r="F16" s="31"/>
      <c r="G16" s="31"/>
      <c r="H16" s="31"/>
      <c r="I16" s="31"/>
      <c r="J16" s="31"/>
      <c r="K16" s="31"/>
      <c r="L16" s="31"/>
      <c r="M16" s="31"/>
      <c r="N16" s="31"/>
      <c r="O16" s="31"/>
      <c r="P16" s="31"/>
      <c r="Q16" s="31"/>
      <c r="R16" s="31"/>
      <c r="S16" s="24"/>
      <c r="T16" s="31"/>
      <c r="U16" s="31"/>
      <c r="V16" s="31"/>
      <c r="W16" s="31"/>
      <c r="X16" s="31"/>
      <c r="Y16" s="31"/>
      <c r="Z16" s="31"/>
      <c r="AA16" s="31"/>
      <c r="AB16" s="31"/>
      <c r="AC16" s="31"/>
      <c r="AD16" s="31"/>
      <c r="AE16" s="31"/>
      <c r="AF16" s="31"/>
      <c r="AG16" s="31"/>
      <c r="AH16" s="31"/>
    </row>
    <row r="17" spans="2:34" ht="15" x14ac:dyDescent="0.2">
      <c r="B17" s="31"/>
      <c r="C17" s="31" t="s">
        <v>476</v>
      </c>
      <c r="D17" s="31"/>
      <c r="E17" s="31"/>
      <c r="F17" s="31"/>
      <c r="G17" s="31"/>
      <c r="H17" s="31"/>
      <c r="I17" s="31"/>
      <c r="J17" s="31"/>
      <c r="K17" s="31"/>
      <c r="L17" s="31"/>
      <c r="M17" s="31"/>
      <c r="N17" s="31"/>
      <c r="O17" s="31"/>
      <c r="P17" s="31"/>
      <c r="Q17" s="31"/>
      <c r="R17" s="31"/>
      <c r="S17" s="24"/>
      <c r="T17" s="31"/>
      <c r="U17" s="31"/>
      <c r="V17" s="31"/>
      <c r="W17" s="31"/>
      <c r="X17" s="31"/>
      <c r="Y17" s="31"/>
      <c r="Z17" s="31"/>
      <c r="AA17" s="31"/>
      <c r="AB17" s="31"/>
      <c r="AC17" s="31"/>
      <c r="AD17" s="31"/>
      <c r="AE17" s="31"/>
      <c r="AF17" s="31"/>
      <c r="AG17" s="31"/>
      <c r="AH17" s="31"/>
    </row>
    <row r="18" spans="2:34" ht="15" x14ac:dyDescent="0.2">
      <c r="B18" s="31"/>
      <c r="C18" s="31" t="s">
        <v>255</v>
      </c>
      <c r="D18" s="31"/>
      <c r="E18" s="31"/>
      <c r="F18" s="31"/>
      <c r="G18" s="31"/>
      <c r="H18" s="31"/>
      <c r="I18" s="31"/>
      <c r="J18" s="31"/>
      <c r="K18" s="31"/>
      <c r="L18" s="31"/>
      <c r="M18" s="31"/>
      <c r="N18" s="31"/>
      <c r="O18" s="31"/>
      <c r="P18" s="31"/>
      <c r="Q18" s="31"/>
      <c r="R18" s="31"/>
      <c r="S18" s="24"/>
      <c r="T18" s="31"/>
      <c r="U18" s="31"/>
      <c r="V18" s="31"/>
      <c r="W18" s="31"/>
      <c r="X18" s="31"/>
      <c r="Y18" s="31"/>
      <c r="Z18" s="31"/>
      <c r="AA18" s="31"/>
      <c r="AB18" s="31"/>
      <c r="AC18" s="31"/>
      <c r="AD18" s="31"/>
      <c r="AE18" s="31"/>
      <c r="AF18" s="31"/>
      <c r="AG18" s="31"/>
      <c r="AH18" s="31"/>
    </row>
    <row r="19" spans="2:34" ht="15" x14ac:dyDescent="0.2">
      <c r="B19" s="31"/>
      <c r="C19" s="31" t="s">
        <v>1245</v>
      </c>
      <c r="D19" s="31"/>
      <c r="E19" s="31"/>
      <c r="F19" s="31"/>
      <c r="G19" s="31"/>
      <c r="H19" s="31"/>
      <c r="I19" s="31"/>
      <c r="J19" s="31"/>
      <c r="K19" s="31"/>
      <c r="L19" s="31"/>
      <c r="M19" s="31"/>
      <c r="N19" s="31"/>
      <c r="O19" s="31"/>
      <c r="P19" s="31"/>
      <c r="Q19" s="31"/>
      <c r="R19" s="31"/>
      <c r="S19" s="24"/>
      <c r="T19" s="31"/>
      <c r="U19" s="31"/>
      <c r="V19" s="31"/>
      <c r="W19" s="31"/>
      <c r="X19" s="31"/>
      <c r="Y19" s="31"/>
      <c r="Z19" s="31"/>
      <c r="AA19" s="31"/>
      <c r="AB19" s="31"/>
      <c r="AC19" s="31"/>
      <c r="AD19" s="31"/>
      <c r="AE19" s="31"/>
      <c r="AF19" s="31"/>
      <c r="AG19" s="31"/>
      <c r="AH19" s="31"/>
    </row>
    <row r="20" spans="2:34" ht="15" x14ac:dyDescent="0.2">
      <c r="C20" s="31" t="s">
        <v>190</v>
      </c>
    </row>
    <row r="21" spans="2:34" ht="15" x14ac:dyDescent="0.2">
      <c r="C21" s="31" t="s">
        <v>525</v>
      </c>
    </row>
    <row r="22" spans="2:34" ht="15" x14ac:dyDescent="0.2">
      <c r="C22" s="31" t="s">
        <v>545</v>
      </c>
    </row>
    <row r="23" spans="2:34" ht="15" x14ac:dyDescent="0.2">
      <c r="C23" s="31" t="s">
        <v>446</v>
      </c>
    </row>
    <row r="27" spans="2:34" ht="15" x14ac:dyDescent="0.2">
      <c r="C27" s="16"/>
    </row>
    <row r="73" spans="7:7" ht="19.5" x14ac:dyDescent="0.2">
      <c r="G73" s="36"/>
    </row>
    <row r="74" spans="7:7" ht="19.5" x14ac:dyDescent="0.2">
      <c r="G74" s="36"/>
    </row>
    <row r="75" spans="7:7" ht="19.5" x14ac:dyDescent="0.2">
      <c r="G75" s="36"/>
    </row>
    <row r="76" spans="7:7" ht="19.5" x14ac:dyDescent="0.2">
      <c r="G76" s="36"/>
    </row>
    <row r="77" spans="7:7" ht="19.5" x14ac:dyDescent="0.2">
      <c r="G77" s="36"/>
    </row>
    <row r="78" spans="7:7" ht="19.5" x14ac:dyDescent="0.2">
      <c r="G78" s="36"/>
    </row>
    <row r="79" spans="7:7" ht="19.5" x14ac:dyDescent="0.2">
      <c r="G79" s="36"/>
    </row>
  </sheetData>
  <phoneticPr fontId="2"/>
  <conditionalFormatting sqref="R3:R7">
    <cfRule type="expression" dxfId="2" priority="1">
      <formula>$T3="取り下げ"</formula>
    </cfRule>
  </conditionalFormatting>
  <pageMargins left="0.7" right="0.7" top="0.75" bottom="0.75" header="0.3" footer="0.3"/>
  <pageSetup paperSize="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C5980-50DB-4EF1-8B4B-F73546972581}">
  <sheetPr codeName="Sheet3">
    <tabColor theme="9" tint="0.79998168889431442"/>
  </sheetPr>
  <dimension ref="A1"/>
  <sheetViews>
    <sheetView workbookViewId="0">
      <selection activeCell="D41" sqref="D41"/>
    </sheetView>
  </sheetViews>
  <sheetFormatPr defaultRowHeight="13" x14ac:dyDescent="0.2"/>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D1F5-2018-4106-8176-52E74B135051}">
  <sheetPr codeName="Sheet4">
    <tabColor theme="9" tint="0.79998168889431442"/>
    <pageSetUpPr fitToPage="1"/>
  </sheetPr>
  <dimension ref="A1:AP33"/>
  <sheetViews>
    <sheetView zoomScale="84" zoomScaleNormal="85" zoomScalePageLayoutView="40" workbookViewId="0">
      <pane xSplit="6" ySplit="3" topLeftCell="L7" activePane="bottomRight" state="frozen"/>
      <selection pane="topRight" activeCell="G36" sqref="G36"/>
      <selection pane="bottomLeft" activeCell="G36" sqref="G36"/>
      <selection pane="bottomRight" activeCell="F12" sqref="F12"/>
    </sheetView>
  </sheetViews>
  <sheetFormatPr defaultColWidth="9" defaultRowHeight="15" outlineLevelCol="2" x14ac:dyDescent="0.2"/>
  <cols>
    <col min="1" max="1" width="3.08984375" style="44" customWidth="1"/>
    <col min="2" max="2" width="11.08984375" style="45" customWidth="1"/>
    <col min="3" max="4" width="6.08984375" style="46" customWidth="1"/>
    <col min="5" max="5" width="13.08984375" style="47" customWidth="1"/>
    <col min="6" max="6" width="37.08984375" style="5" customWidth="1"/>
    <col min="7" max="7" width="12.08984375" style="47" customWidth="1" outlineLevel="1"/>
    <col min="8" max="8" width="13.08984375" style="5" customWidth="1" outlineLevel="1"/>
    <col min="9" max="9" width="13.08984375" style="47" customWidth="1" outlineLevel="2" collapsed="1"/>
    <col min="10" max="10" width="10.08984375" style="5" customWidth="1" outlineLevel="1"/>
    <col min="11" max="11" width="12" style="30" customWidth="1" outlineLevel="1"/>
    <col min="12" max="12" width="55.08984375" style="47" customWidth="1"/>
    <col min="13" max="13" width="84" style="5" customWidth="1"/>
    <col min="14" max="14" width="68.08984375" style="5" customWidth="1" outlineLevel="1"/>
    <col min="15" max="15" width="23" style="47" customWidth="1" outlineLevel="1" collapsed="1"/>
    <col min="16" max="17" width="9" style="5" customWidth="1" outlineLevel="1"/>
    <col min="18" max="18" width="15" style="47" customWidth="1"/>
    <col min="19" max="19" width="11.90625" style="5" customWidth="1" outlineLevel="1"/>
    <col min="20" max="20" width="9" style="5" customWidth="1" outlineLevel="1"/>
    <col min="21" max="21" width="12.08984375" style="5" customWidth="1" outlineLevel="1"/>
    <col min="22" max="22" width="23.08984375" style="5" customWidth="1" outlineLevel="1"/>
    <col min="23" max="23" width="23.08984375" style="5" customWidth="1" outlineLevel="1" collapsed="1"/>
    <col min="24" max="24" width="43.08984375" style="5" customWidth="1" outlineLevel="1"/>
    <col min="25" max="25" width="100.08984375" style="47" customWidth="1"/>
    <col min="26" max="26" width="42" style="47" customWidth="1" outlineLevel="1"/>
    <col min="27" max="27" width="13.08984375" style="5" customWidth="1" outlineLevel="1"/>
    <col min="28" max="28" width="17.08984375" style="5" customWidth="1" outlineLevel="1"/>
    <col min="29" max="29" width="30.08984375" style="47" customWidth="1"/>
    <col min="30" max="30" width="10.08984375" style="48" customWidth="1"/>
    <col min="31" max="31" width="121.08984375" style="47" customWidth="1"/>
    <col min="32" max="32" width="30.08984375" style="47" customWidth="1"/>
    <col min="33" max="33" width="30.08984375" style="5" customWidth="1" outlineLevel="2"/>
    <col min="34" max="34" width="21.08984375" style="5" customWidth="1" outlineLevel="2"/>
    <col min="35" max="35" width="15.08984375" style="5" customWidth="1" outlineLevel="2"/>
    <col min="36" max="36" width="14.08984375" style="5" customWidth="1" outlineLevel="2"/>
    <col min="37" max="37" width="9" style="49"/>
    <col min="38" max="38" width="9" style="50" bestFit="1" customWidth="1"/>
    <col min="39" max="39" width="64.08984375" style="50" customWidth="1"/>
    <col min="40" max="16384" width="9" style="44"/>
  </cols>
  <sheetData>
    <row r="1" spans="1:42" x14ac:dyDescent="0.2">
      <c r="E1" s="495" t="s">
        <v>1246</v>
      </c>
      <c r="F1" s="496"/>
      <c r="G1" s="495"/>
      <c r="H1" s="497"/>
      <c r="I1" s="497"/>
      <c r="J1" s="497"/>
    </row>
    <row r="2" spans="1:42" s="51" customFormat="1" x14ac:dyDescent="0.2">
      <c r="B2" s="52"/>
      <c r="C2" s="53" t="s">
        <v>1</v>
      </c>
      <c r="D2" s="54"/>
      <c r="E2" s="55"/>
      <c r="F2" s="56"/>
      <c r="G2" s="55"/>
      <c r="H2" s="18"/>
      <c r="I2" s="55"/>
      <c r="J2" s="18"/>
      <c r="K2" s="28"/>
      <c r="L2" s="55"/>
      <c r="M2" s="18"/>
      <c r="N2" s="18"/>
      <c r="O2" s="55"/>
      <c r="P2" s="18"/>
      <c r="Q2" s="18"/>
      <c r="R2" s="57"/>
      <c r="S2" s="19" t="s">
        <v>2</v>
      </c>
      <c r="T2" s="19"/>
      <c r="U2" s="27"/>
      <c r="V2" s="20"/>
      <c r="W2" s="27"/>
      <c r="X2" s="21" t="s">
        <v>1247</v>
      </c>
      <c r="Y2" s="58"/>
      <c r="Z2" s="59"/>
      <c r="AA2" s="22"/>
      <c r="AB2" s="22"/>
      <c r="AC2" s="60" t="s">
        <v>1248</v>
      </c>
      <c r="AD2" s="61"/>
      <c r="AE2" s="62"/>
      <c r="AF2" s="63"/>
      <c r="AG2" s="64"/>
      <c r="AH2" s="65" t="s">
        <v>1249</v>
      </c>
      <c r="AI2" s="64"/>
      <c r="AJ2" s="64"/>
      <c r="AK2" s="66"/>
      <c r="AL2" s="67" t="s">
        <v>1250</v>
      </c>
      <c r="AM2" s="68"/>
    </row>
    <row r="3" spans="1:42" s="69" customFormat="1" ht="45" x14ac:dyDescent="0.2">
      <c r="B3" s="70" t="s">
        <v>1251</v>
      </c>
      <c r="C3" s="71" t="s">
        <v>4</v>
      </c>
      <c r="D3" s="72" t="s">
        <v>5</v>
      </c>
      <c r="E3" s="73" t="s">
        <v>6</v>
      </c>
      <c r="F3" s="37" t="s">
        <v>7</v>
      </c>
      <c r="G3" s="73" t="s">
        <v>9</v>
      </c>
      <c r="H3" s="10" t="s">
        <v>10</v>
      </c>
      <c r="I3" s="73" t="s">
        <v>11</v>
      </c>
      <c r="J3" s="10" t="s">
        <v>12</v>
      </c>
      <c r="K3" s="29" t="s">
        <v>13</v>
      </c>
      <c r="L3" s="73" t="s">
        <v>14</v>
      </c>
      <c r="M3" s="10" t="s">
        <v>15</v>
      </c>
      <c r="N3" s="10" t="s">
        <v>16</v>
      </c>
      <c r="O3" s="73" t="s">
        <v>1203</v>
      </c>
      <c r="P3" s="10" t="s">
        <v>19</v>
      </c>
      <c r="Q3" s="10" t="s">
        <v>20</v>
      </c>
      <c r="R3" s="73" t="s">
        <v>21</v>
      </c>
      <c r="S3" s="11" t="s">
        <v>1205</v>
      </c>
      <c r="T3" s="11" t="s">
        <v>22</v>
      </c>
      <c r="U3" s="11" t="s">
        <v>23</v>
      </c>
      <c r="V3" s="11" t="s">
        <v>24</v>
      </c>
      <c r="W3" s="11" t="s">
        <v>25</v>
      </c>
      <c r="X3" s="12" t="s">
        <v>1208</v>
      </c>
      <c r="Y3" s="74" t="s">
        <v>1252</v>
      </c>
      <c r="Z3" s="74" t="s">
        <v>1253</v>
      </c>
      <c r="AA3" s="12" t="s">
        <v>31</v>
      </c>
      <c r="AB3" s="12" t="s">
        <v>32</v>
      </c>
      <c r="AC3" s="75" t="s">
        <v>1254</v>
      </c>
      <c r="AD3" s="76" t="s">
        <v>27</v>
      </c>
      <c r="AE3" s="76" t="s">
        <v>1255</v>
      </c>
      <c r="AF3" s="75" t="s">
        <v>1214</v>
      </c>
      <c r="AG3" s="14" t="s">
        <v>1215</v>
      </c>
      <c r="AH3" s="13" t="s">
        <v>1216</v>
      </c>
      <c r="AI3" s="13" t="s">
        <v>31</v>
      </c>
      <c r="AJ3" s="13" t="s">
        <v>32</v>
      </c>
      <c r="AL3" s="77" t="s">
        <v>1256</v>
      </c>
      <c r="AM3" s="77" t="s">
        <v>1257</v>
      </c>
      <c r="AO3" s="78" t="s">
        <v>1258</v>
      </c>
    </row>
    <row r="4" spans="1:42" ht="150" x14ac:dyDescent="0.2">
      <c r="A4" s="44">
        <f>COUNTIF(C:C,C4)</f>
        <v>1</v>
      </c>
      <c r="B4" s="50"/>
      <c r="C4" s="80" t="s">
        <v>1259</v>
      </c>
      <c r="D4" s="81" t="s">
        <v>1260</v>
      </c>
      <c r="E4" s="82" t="s">
        <v>41</v>
      </c>
      <c r="F4" s="99" t="s">
        <v>42</v>
      </c>
      <c r="G4" s="82" t="s">
        <v>44</v>
      </c>
      <c r="H4" s="4" t="s">
        <v>45</v>
      </c>
      <c r="I4" s="82" t="s">
        <v>46</v>
      </c>
      <c r="J4" s="4" t="s">
        <v>99</v>
      </c>
      <c r="K4" s="34">
        <v>45748</v>
      </c>
      <c r="L4" s="82" t="s">
        <v>48</v>
      </c>
      <c r="M4" s="3" t="s">
        <v>49</v>
      </c>
      <c r="N4" s="3" t="s">
        <v>50</v>
      </c>
      <c r="O4" s="82" t="s">
        <v>51</v>
      </c>
      <c r="P4" s="4" t="s">
        <v>53</v>
      </c>
      <c r="Q4" s="4"/>
      <c r="R4" s="99" t="s">
        <v>1261</v>
      </c>
      <c r="S4" s="97"/>
      <c r="T4" s="1" t="s">
        <v>89</v>
      </c>
      <c r="U4" s="96"/>
      <c r="V4" s="1"/>
      <c r="W4" s="1" t="s">
        <v>1262</v>
      </c>
      <c r="X4" s="1" t="s">
        <v>57</v>
      </c>
      <c r="Y4" s="84" t="s">
        <v>59</v>
      </c>
      <c r="Z4" s="84" t="s">
        <v>1263</v>
      </c>
      <c r="AA4" s="1" t="s">
        <v>1225</v>
      </c>
      <c r="AB4" s="98">
        <v>45800</v>
      </c>
      <c r="AC4" s="85" t="s">
        <v>1264</v>
      </c>
      <c r="AD4" s="85" t="s">
        <v>58</v>
      </c>
      <c r="AE4" s="84" t="s">
        <v>1265</v>
      </c>
      <c r="AF4" s="85" t="s">
        <v>1266</v>
      </c>
      <c r="AG4" s="1"/>
      <c r="AH4" s="1" t="s">
        <v>60</v>
      </c>
      <c r="AI4" s="1"/>
      <c r="AJ4" s="98"/>
      <c r="AK4" s="32" t="s">
        <v>61</v>
      </c>
      <c r="AL4" s="88"/>
      <c r="AM4" s="88"/>
    </row>
    <row r="5" spans="1:42" s="7" customFormat="1" ht="45" x14ac:dyDescent="0.2">
      <c r="A5" s="44">
        <f t="shared" ref="A5:A18" si="0">COUNTIF(C:C,C5)</f>
        <v>1</v>
      </c>
      <c r="B5" s="92"/>
      <c r="C5" s="80" t="s">
        <v>1267</v>
      </c>
      <c r="D5" s="81" t="s">
        <v>1268</v>
      </c>
      <c r="E5" s="4" t="s">
        <v>64</v>
      </c>
      <c r="F5" s="4" t="s">
        <v>65</v>
      </c>
      <c r="G5" s="4" t="s">
        <v>44</v>
      </c>
      <c r="H5" s="4" t="s">
        <v>67</v>
      </c>
      <c r="I5" s="4" t="s">
        <v>46</v>
      </c>
      <c r="J5" s="4" t="s">
        <v>99</v>
      </c>
      <c r="K5" s="34">
        <v>45748</v>
      </c>
      <c r="L5" s="4" t="s">
        <v>68</v>
      </c>
      <c r="M5" s="4"/>
      <c r="N5" s="4"/>
      <c r="O5" s="4" t="s">
        <v>71</v>
      </c>
      <c r="P5" s="4"/>
      <c r="Q5" s="4"/>
      <c r="R5" s="3" t="s">
        <v>1261</v>
      </c>
      <c r="S5" s="93"/>
      <c r="T5" s="100" t="s">
        <v>89</v>
      </c>
      <c r="U5" s="93"/>
      <c r="V5" s="93"/>
      <c r="W5" s="93"/>
      <c r="X5" s="4"/>
      <c r="Y5" s="4"/>
      <c r="Z5" s="4"/>
      <c r="AA5" s="4" t="s">
        <v>1225</v>
      </c>
      <c r="AB5" s="4"/>
      <c r="AC5" s="94"/>
      <c r="AD5" s="4"/>
      <c r="AE5" s="94"/>
      <c r="AF5" s="83" t="s">
        <v>574</v>
      </c>
      <c r="AG5" s="94"/>
      <c r="AH5" s="94"/>
      <c r="AI5" s="94"/>
      <c r="AJ5" s="94"/>
      <c r="AK5" s="32" t="s">
        <v>61</v>
      </c>
      <c r="AL5" s="95"/>
      <c r="AM5" s="95"/>
    </row>
    <row r="6" spans="1:42" s="102" customFormat="1" ht="45" x14ac:dyDescent="0.2">
      <c r="A6" s="44">
        <f t="shared" si="0"/>
        <v>1</v>
      </c>
      <c r="B6" s="101"/>
      <c r="C6" s="105" t="s">
        <v>1269</v>
      </c>
      <c r="D6" s="106" t="s">
        <v>1270</v>
      </c>
      <c r="E6" s="4" t="s">
        <v>139</v>
      </c>
      <c r="F6" s="126"/>
      <c r="G6" s="4" t="s">
        <v>142</v>
      </c>
      <c r="H6" s="4" t="s">
        <v>98</v>
      </c>
      <c r="I6" s="4" t="s">
        <v>46</v>
      </c>
      <c r="J6" s="4" t="s">
        <v>99</v>
      </c>
      <c r="K6" s="34">
        <v>45748</v>
      </c>
      <c r="L6" s="4" t="s">
        <v>153</v>
      </c>
      <c r="M6" s="4"/>
      <c r="N6" s="4"/>
      <c r="O6" s="4" t="s">
        <v>73</v>
      </c>
      <c r="P6" s="4"/>
      <c r="Q6" s="4"/>
      <c r="R6" s="3" t="s">
        <v>1261</v>
      </c>
      <c r="S6" s="33"/>
      <c r="T6" s="4" t="s">
        <v>89</v>
      </c>
      <c r="U6" s="4"/>
      <c r="V6" s="4"/>
      <c r="W6" s="4"/>
      <c r="X6" s="4"/>
      <c r="Y6" s="4"/>
      <c r="Z6" s="4"/>
      <c r="AA6" s="4" t="s">
        <v>1225</v>
      </c>
      <c r="AB6" s="33"/>
      <c r="AC6" s="4"/>
      <c r="AD6" s="4"/>
      <c r="AE6" s="4"/>
      <c r="AF6" s="4"/>
      <c r="AG6" s="4"/>
      <c r="AH6" s="4"/>
      <c r="AI6" s="4"/>
      <c r="AJ6" s="4"/>
      <c r="AK6" s="32" t="s">
        <v>61</v>
      </c>
      <c r="AL6" s="95"/>
      <c r="AM6" s="95"/>
    </row>
    <row r="7" spans="1:42" s="109" customFormat="1" ht="165" x14ac:dyDescent="0.2">
      <c r="A7" s="44">
        <f t="shared" si="0"/>
        <v>2</v>
      </c>
      <c r="B7" s="79"/>
      <c r="C7" s="105" t="s">
        <v>188</v>
      </c>
      <c r="D7" s="106" t="s">
        <v>1271</v>
      </c>
      <c r="E7" s="84" t="s">
        <v>190</v>
      </c>
      <c r="F7" s="100" t="s">
        <v>191</v>
      </c>
      <c r="G7" s="84" t="s">
        <v>97</v>
      </c>
      <c r="H7" s="4" t="s">
        <v>98</v>
      </c>
      <c r="I7" s="82" t="s">
        <v>46</v>
      </c>
      <c r="J7" s="4" t="s">
        <v>99</v>
      </c>
      <c r="K7" s="127">
        <v>45748</v>
      </c>
      <c r="L7" s="128" t="s">
        <v>193</v>
      </c>
      <c r="M7" s="3" t="s">
        <v>194</v>
      </c>
      <c r="N7" s="3" t="s">
        <v>195</v>
      </c>
      <c r="O7" s="99" t="s">
        <v>196</v>
      </c>
      <c r="P7" s="3" t="s">
        <v>123</v>
      </c>
      <c r="Q7" s="3" t="s">
        <v>197</v>
      </c>
      <c r="R7" s="99" t="s">
        <v>1261</v>
      </c>
      <c r="S7" s="8"/>
      <c r="T7" s="3" t="s">
        <v>89</v>
      </c>
      <c r="U7" s="3"/>
      <c r="V7" s="2"/>
      <c r="W7" s="100" t="s">
        <v>1272</v>
      </c>
      <c r="X7" s="3" t="s">
        <v>199</v>
      </c>
      <c r="Y7" s="84" t="s">
        <v>201</v>
      </c>
      <c r="Z7" s="84" t="s">
        <v>1273</v>
      </c>
      <c r="AA7" s="3" t="s">
        <v>1225</v>
      </c>
      <c r="AB7" s="8">
        <v>45799</v>
      </c>
      <c r="AC7" s="84" t="s">
        <v>1274</v>
      </c>
      <c r="AD7" s="84" t="s">
        <v>200</v>
      </c>
      <c r="AE7" s="84" t="s">
        <v>1275</v>
      </c>
      <c r="AF7" s="86" t="s">
        <v>1276</v>
      </c>
      <c r="AG7" s="87" t="s">
        <v>202</v>
      </c>
      <c r="AH7" s="87" t="s">
        <v>202</v>
      </c>
      <c r="AI7" s="4"/>
      <c r="AJ7" s="33"/>
      <c r="AK7" s="32" t="s">
        <v>61</v>
      </c>
      <c r="AL7" s="88" t="s">
        <v>1277</v>
      </c>
      <c r="AM7" s="85" t="s">
        <v>1278</v>
      </c>
      <c r="AO7" s="109" t="s">
        <v>1279</v>
      </c>
      <c r="AP7" s="50"/>
    </row>
    <row r="8" spans="1:42" s="109" customFormat="1" ht="135" x14ac:dyDescent="0.2">
      <c r="A8" s="44">
        <f t="shared" si="0"/>
        <v>2</v>
      </c>
      <c r="B8" s="79"/>
      <c r="C8" s="118" t="s">
        <v>1280</v>
      </c>
      <c r="D8" s="119" t="s">
        <v>1281</v>
      </c>
      <c r="E8" s="121" t="s">
        <v>190</v>
      </c>
      <c r="F8" s="120" t="s">
        <v>204</v>
      </c>
      <c r="G8" s="121" t="s">
        <v>97</v>
      </c>
      <c r="H8" s="122" t="s">
        <v>98</v>
      </c>
      <c r="I8" s="121" t="s">
        <v>46</v>
      </c>
      <c r="J8" s="122" t="s">
        <v>99</v>
      </c>
      <c r="K8" s="129">
        <v>45748</v>
      </c>
      <c r="L8" s="130" t="s">
        <v>193</v>
      </c>
      <c r="M8" s="122" t="s">
        <v>194</v>
      </c>
      <c r="N8" s="122" t="s">
        <v>195</v>
      </c>
      <c r="O8" s="121" t="s">
        <v>196</v>
      </c>
      <c r="P8" s="122" t="s">
        <v>123</v>
      </c>
      <c r="Q8" s="122" t="s">
        <v>197</v>
      </c>
      <c r="R8" s="117" t="s">
        <v>1261</v>
      </c>
      <c r="S8" s="123"/>
      <c r="T8" s="122" t="s">
        <v>89</v>
      </c>
      <c r="U8" s="122"/>
      <c r="V8" s="2"/>
      <c r="W8" s="124" t="s">
        <v>135</v>
      </c>
      <c r="X8" s="6" t="s">
        <v>199</v>
      </c>
      <c r="Y8" s="84" t="s">
        <v>207</v>
      </c>
      <c r="Z8" s="84" t="s">
        <v>1273</v>
      </c>
      <c r="AA8" s="3" t="s">
        <v>1225</v>
      </c>
      <c r="AB8" s="8">
        <v>45799</v>
      </c>
      <c r="AC8" s="84" t="s">
        <v>1282</v>
      </c>
      <c r="AD8" s="84" t="s">
        <v>200</v>
      </c>
      <c r="AE8" s="84" t="s">
        <v>1283</v>
      </c>
      <c r="AF8" s="86" t="s">
        <v>1276</v>
      </c>
      <c r="AG8" s="87" t="s">
        <v>202</v>
      </c>
      <c r="AH8" s="87" t="s">
        <v>202</v>
      </c>
      <c r="AI8" s="4"/>
      <c r="AJ8" s="33"/>
      <c r="AK8" s="32" t="s">
        <v>61</v>
      </c>
      <c r="AL8" s="88"/>
      <c r="AM8" s="88"/>
    </row>
    <row r="9" spans="1:42" s="102" customFormat="1" ht="40.5" x14ac:dyDescent="0.2">
      <c r="A9" s="44">
        <f t="shared" si="0"/>
        <v>1</v>
      </c>
      <c r="B9" s="101"/>
      <c r="C9" s="105" t="s">
        <v>1284</v>
      </c>
      <c r="D9" s="106" t="s">
        <v>1285</v>
      </c>
      <c r="E9" s="4" t="s">
        <v>139</v>
      </c>
      <c r="F9" s="114" t="s">
        <v>1286</v>
      </c>
      <c r="G9" s="4">
        <v>0</v>
      </c>
      <c r="H9" s="4" t="s">
        <v>98</v>
      </c>
      <c r="I9" s="4" t="s">
        <v>46</v>
      </c>
      <c r="J9" s="4" t="s">
        <v>99</v>
      </c>
      <c r="K9" s="127">
        <v>45748</v>
      </c>
      <c r="L9" s="114" t="s">
        <v>1287</v>
      </c>
      <c r="M9" s="4"/>
      <c r="N9" s="4"/>
      <c r="O9" s="4" t="s">
        <v>73</v>
      </c>
      <c r="P9" s="4"/>
      <c r="Q9" s="4"/>
      <c r="R9" s="3" t="s">
        <v>1261</v>
      </c>
      <c r="S9" s="33"/>
      <c r="T9" s="4" t="s">
        <v>89</v>
      </c>
      <c r="U9" s="4"/>
      <c r="V9" s="4"/>
      <c r="W9" s="4"/>
      <c r="X9" s="4"/>
      <c r="Y9" s="4"/>
      <c r="Z9" s="4"/>
      <c r="AA9" s="4" t="s">
        <v>1225</v>
      </c>
      <c r="AB9" s="33"/>
      <c r="AC9" s="4"/>
      <c r="AD9" s="4"/>
      <c r="AE9" s="4"/>
      <c r="AF9" s="4"/>
      <c r="AG9" s="4"/>
      <c r="AH9" s="4"/>
      <c r="AI9" s="4"/>
      <c r="AJ9" s="4"/>
      <c r="AK9" s="32" t="s">
        <v>61</v>
      </c>
      <c r="AL9" s="88" t="s">
        <v>1288</v>
      </c>
      <c r="AM9" s="88" t="s">
        <v>1289</v>
      </c>
    </row>
    <row r="10" spans="1:42" s="102" customFormat="1" ht="30" x14ac:dyDescent="0.2">
      <c r="A10" s="44">
        <f t="shared" si="0"/>
        <v>1</v>
      </c>
      <c r="B10" s="101"/>
      <c r="C10" s="105" t="s">
        <v>1290</v>
      </c>
      <c r="D10" s="106" t="s">
        <v>1291</v>
      </c>
      <c r="E10" s="4" t="s">
        <v>229</v>
      </c>
      <c r="F10" s="95"/>
      <c r="G10" s="4">
        <v>0</v>
      </c>
      <c r="H10" s="4" t="s">
        <v>98</v>
      </c>
      <c r="I10" s="4" t="s">
        <v>46</v>
      </c>
      <c r="J10" s="4" t="s">
        <v>99</v>
      </c>
      <c r="K10" s="127">
        <v>45748</v>
      </c>
      <c r="L10" s="114" t="s">
        <v>232</v>
      </c>
      <c r="M10" s="4"/>
      <c r="N10" s="4"/>
      <c r="O10" s="4" t="s">
        <v>233</v>
      </c>
      <c r="P10" s="4"/>
      <c r="Q10" s="4"/>
      <c r="R10" s="3" t="s">
        <v>1261</v>
      </c>
      <c r="S10" s="33"/>
      <c r="T10" s="4" t="s">
        <v>89</v>
      </c>
      <c r="U10" s="4"/>
      <c r="V10" s="4"/>
      <c r="W10" s="4"/>
      <c r="X10" s="4"/>
      <c r="Y10" s="4"/>
      <c r="Z10" s="4"/>
      <c r="AA10" s="4" t="s">
        <v>1225</v>
      </c>
      <c r="AB10" s="33"/>
      <c r="AC10" s="4"/>
      <c r="AD10" s="4"/>
      <c r="AE10" s="4"/>
      <c r="AF10" s="4"/>
      <c r="AG10" s="4"/>
      <c r="AH10" s="4"/>
      <c r="AI10" s="4"/>
      <c r="AJ10" s="4"/>
      <c r="AK10" s="32" t="s">
        <v>61</v>
      </c>
      <c r="AL10" s="95"/>
      <c r="AM10" s="95"/>
    </row>
    <row r="11" spans="1:42" s="109" customFormat="1" ht="94.5" x14ac:dyDescent="0.2">
      <c r="A11" s="44">
        <f t="shared" si="0"/>
        <v>1</v>
      </c>
      <c r="B11" s="50"/>
      <c r="C11" s="105" t="s">
        <v>1292</v>
      </c>
      <c r="D11" s="106" t="s">
        <v>1293</v>
      </c>
      <c r="E11" s="82" t="s">
        <v>190</v>
      </c>
      <c r="F11" s="125" t="s">
        <v>1294</v>
      </c>
      <c r="G11" s="82" t="s">
        <v>44</v>
      </c>
      <c r="H11" s="4" t="s">
        <v>243</v>
      </c>
      <c r="I11" s="82" t="s">
        <v>46</v>
      </c>
      <c r="J11" s="4" t="s">
        <v>99</v>
      </c>
      <c r="K11" s="127">
        <v>45748</v>
      </c>
      <c r="L11" s="128" t="s">
        <v>244</v>
      </c>
      <c r="M11" s="4" t="s">
        <v>245</v>
      </c>
      <c r="N11" s="4" t="s">
        <v>246</v>
      </c>
      <c r="O11" s="82" t="s">
        <v>247</v>
      </c>
      <c r="P11" s="3" t="s">
        <v>123</v>
      </c>
      <c r="Q11" s="3" t="s">
        <v>197</v>
      </c>
      <c r="R11" s="3" t="s">
        <v>1261</v>
      </c>
      <c r="S11" s="4"/>
      <c r="T11" s="4" t="s">
        <v>89</v>
      </c>
      <c r="U11" s="4"/>
      <c r="V11" s="4"/>
      <c r="W11" s="4" t="s">
        <v>1262</v>
      </c>
      <c r="X11" s="4" t="s">
        <v>248</v>
      </c>
      <c r="Y11" s="82" t="s">
        <v>249</v>
      </c>
      <c r="Z11" s="82" t="s">
        <v>1295</v>
      </c>
      <c r="AA11" s="4" t="s">
        <v>1225</v>
      </c>
      <c r="AB11" s="4"/>
      <c r="AC11" s="82" t="s">
        <v>1296</v>
      </c>
      <c r="AD11" s="82" t="s">
        <v>109</v>
      </c>
      <c r="AE11" s="82" t="s">
        <v>1297</v>
      </c>
      <c r="AF11" s="82" t="s">
        <v>857</v>
      </c>
      <c r="AG11" s="4" t="s">
        <v>250</v>
      </c>
      <c r="AH11" s="4" t="s">
        <v>251</v>
      </c>
      <c r="AI11" s="4" t="s">
        <v>252</v>
      </c>
      <c r="AJ11" s="4"/>
      <c r="AK11" s="32" t="s">
        <v>61</v>
      </c>
      <c r="AL11" s="125"/>
      <c r="AM11" s="125"/>
    </row>
    <row r="12" spans="1:42" s="108" customFormat="1" ht="180" x14ac:dyDescent="0.2">
      <c r="A12" s="44">
        <f t="shared" si="0"/>
        <v>1</v>
      </c>
      <c r="B12" s="50"/>
      <c r="C12" s="137" t="s">
        <v>267</v>
      </c>
      <c r="D12" s="138" t="s">
        <v>1298</v>
      </c>
      <c r="E12" s="84" t="s">
        <v>255</v>
      </c>
      <c r="F12" s="131" t="s">
        <v>269</v>
      </c>
      <c r="G12" s="84" t="s">
        <v>271</v>
      </c>
      <c r="H12" s="3" t="s">
        <v>272</v>
      </c>
      <c r="I12" s="84" t="s">
        <v>46</v>
      </c>
      <c r="J12" s="3" t="s">
        <v>99</v>
      </c>
      <c r="K12" s="139">
        <v>45800</v>
      </c>
      <c r="L12" s="131" t="s">
        <v>273</v>
      </c>
      <c r="M12" s="135" t="s">
        <v>274</v>
      </c>
      <c r="N12" s="3" t="s">
        <v>275</v>
      </c>
      <c r="O12" s="84" t="s">
        <v>276</v>
      </c>
      <c r="P12" s="6" t="s">
        <v>123</v>
      </c>
      <c r="Q12" s="6" t="s">
        <v>197</v>
      </c>
      <c r="R12" s="99" t="s">
        <v>1261</v>
      </c>
      <c r="S12" s="3"/>
      <c r="T12" s="3" t="s">
        <v>89</v>
      </c>
      <c r="U12" s="96"/>
      <c r="V12" s="2"/>
      <c r="W12" s="35" t="s">
        <v>135</v>
      </c>
      <c r="X12" s="3" t="s">
        <v>278</v>
      </c>
      <c r="Y12" s="142" t="s">
        <v>279</v>
      </c>
      <c r="Z12" s="84" t="s">
        <v>1299</v>
      </c>
      <c r="AA12" s="3" t="s">
        <v>1225</v>
      </c>
      <c r="AB12" s="8">
        <v>45800</v>
      </c>
      <c r="AC12" s="84" t="s">
        <v>1300</v>
      </c>
      <c r="AD12" s="84" t="s">
        <v>58</v>
      </c>
      <c r="AE12" s="142" t="s">
        <v>1301</v>
      </c>
      <c r="AF12" s="83" t="s">
        <v>574</v>
      </c>
      <c r="AG12" s="87" t="s">
        <v>202</v>
      </c>
      <c r="AH12" s="87" t="s">
        <v>202</v>
      </c>
      <c r="AI12" s="3"/>
      <c r="AJ12" s="8"/>
      <c r="AK12" s="32" t="s">
        <v>61</v>
      </c>
      <c r="AL12" s="88" t="s">
        <v>1302</v>
      </c>
      <c r="AM12" s="88" t="s">
        <v>1303</v>
      </c>
    </row>
    <row r="13" spans="1:42" s="108" customFormat="1" ht="108" x14ac:dyDescent="0.2">
      <c r="A13" s="44">
        <f t="shared" si="0"/>
        <v>1</v>
      </c>
      <c r="B13" s="50"/>
      <c r="C13" s="137" t="s">
        <v>1304</v>
      </c>
      <c r="D13" s="138" t="s">
        <v>1305</v>
      </c>
      <c r="E13" s="84" t="s">
        <v>282</v>
      </c>
      <c r="F13" s="131" t="s">
        <v>283</v>
      </c>
      <c r="G13" s="84" t="s">
        <v>82</v>
      </c>
      <c r="H13" s="3" t="s">
        <v>285</v>
      </c>
      <c r="I13" s="84" t="s">
        <v>46</v>
      </c>
      <c r="J13" s="3" t="s">
        <v>99</v>
      </c>
      <c r="K13" s="139">
        <v>45800</v>
      </c>
      <c r="L13" s="131" t="s">
        <v>286</v>
      </c>
      <c r="M13" s="135" t="s">
        <v>287</v>
      </c>
      <c r="N13" s="3" t="s">
        <v>288</v>
      </c>
      <c r="O13" s="84" t="s">
        <v>289</v>
      </c>
      <c r="P13" s="6" t="s">
        <v>73</v>
      </c>
      <c r="Q13" s="6" t="s">
        <v>197</v>
      </c>
      <c r="R13" s="3" t="s">
        <v>1261</v>
      </c>
      <c r="S13" s="3"/>
      <c r="T13" s="3" t="s">
        <v>89</v>
      </c>
      <c r="U13" s="3"/>
      <c r="V13" s="3"/>
      <c r="W13" s="35" t="s">
        <v>135</v>
      </c>
      <c r="X13" s="3" t="s">
        <v>290</v>
      </c>
      <c r="Y13" s="142" t="s">
        <v>291</v>
      </c>
      <c r="Z13" s="84" t="s">
        <v>1306</v>
      </c>
      <c r="AA13" s="3" t="s">
        <v>1225</v>
      </c>
      <c r="AB13" s="8">
        <v>45800</v>
      </c>
      <c r="AC13" s="84" t="s">
        <v>1307</v>
      </c>
      <c r="AD13" s="142" t="s">
        <v>109</v>
      </c>
      <c r="AE13" s="142" t="s">
        <v>1308</v>
      </c>
      <c r="AF13" s="86" t="s">
        <v>574</v>
      </c>
      <c r="AG13" s="87" t="s">
        <v>202</v>
      </c>
      <c r="AH13" s="87" t="s">
        <v>202</v>
      </c>
      <c r="AI13" s="3"/>
      <c r="AJ13" s="8"/>
      <c r="AK13" s="32" t="s">
        <v>61</v>
      </c>
      <c r="AL13" s="88" t="s">
        <v>1309</v>
      </c>
      <c r="AM13" s="88" t="s">
        <v>1310</v>
      </c>
    </row>
    <row r="14" spans="1:42" s="101" customFormat="1" ht="75" x14ac:dyDescent="0.2">
      <c r="A14" s="44">
        <f t="shared" si="0"/>
        <v>1</v>
      </c>
      <c r="C14" s="112" t="s">
        <v>292</v>
      </c>
      <c r="D14" s="113" t="s">
        <v>1311</v>
      </c>
      <c r="E14" s="107" t="s">
        <v>294</v>
      </c>
      <c r="F14" s="145" t="s">
        <v>295</v>
      </c>
      <c r="G14" s="1" t="s">
        <v>82</v>
      </c>
      <c r="H14" s="1" t="s">
        <v>161</v>
      </c>
      <c r="I14" s="1" t="s">
        <v>297</v>
      </c>
      <c r="J14" s="2" t="s">
        <v>1312</v>
      </c>
      <c r="K14" s="140">
        <v>45817</v>
      </c>
      <c r="L14" s="145" t="s">
        <v>299</v>
      </c>
      <c r="M14" s="145" t="s">
        <v>300</v>
      </c>
      <c r="N14" s="1" t="s">
        <v>301</v>
      </c>
      <c r="O14" s="1" t="s">
        <v>135</v>
      </c>
      <c r="P14" s="1"/>
      <c r="Q14" s="1"/>
      <c r="R14" s="1" t="s">
        <v>1313</v>
      </c>
      <c r="S14" s="1"/>
      <c r="T14" s="1"/>
      <c r="U14" s="1"/>
      <c r="V14" s="1"/>
      <c r="W14" s="1"/>
      <c r="X14" s="1" t="s">
        <v>303</v>
      </c>
      <c r="Y14" s="146" t="s">
        <v>304</v>
      </c>
      <c r="Z14" s="1" t="s">
        <v>1314</v>
      </c>
      <c r="AA14" s="1"/>
      <c r="AB14" s="98"/>
      <c r="AC14" s="1" t="s">
        <v>1315</v>
      </c>
      <c r="AD14" s="1" t="s">
        <v>109</v>
      </c>
      <c r="AE14" s="146" t="s">
        <v>304</v>
      </c>
      <c r="AF14" s="1" t="s">
        <v>574</v>
      </c>
      <c r="AG14" s="1"/>
      <c r="AH14" s="1"/>
      <c r="AI14" s="1"/>
      <c r="AJ14" s="98"/>
      <c r="AK14" s="147"/>
      <c r="AL14" s="145"/>
      <c r="AM14" s="145"/>
    </row>
    <row r="15" spans="1:42" s="101" customFormat="1" ht="405" x14ac:dyDescent="0.2">
      <c r="A15" s="44">
        <f t="shared" si="0"/>
        <v>2</v>
      </c>
      <c r="B15" s="101" t="s">
        <v>1316</v>
      </c>
      <c r="C15" s="112" t="s">
        <v>305</v>
      </c>
      <c r="D15" s="113" t="s">
        <v>1317</v>
      </c>
      <c r="E15" s="6" t="s">
        <v>307</v>
      </c>
      <c r="F15" s="135" t="s">
        <v>308</v>
      </c>
      <c r="G15" s="3" t="s">
        <v>97</v>
      </c>
      <c r="H15" s="3" t="s">
        <v>161</v>
      </c>
      <c r="I15" s="107" t="s">
        <v>46</v>
      </c>
      <c r="J15" s="100" t="s">
        <v>99</v>
      </c>
      <c r="K15" s="140">
        <v>45831</v>
      </c>
      <c r="L15" s="135" t="s">
        <v>310</v>
      </c>
      <c r="M15" s="6" t="s">
        <v>1318</v>
      </c>
      <c r="N15" s="3" t="s">
        <v>312</v>
      </c>
      <c r="O15" s="3" t="s">
        <v>313</v>
      </c>
      <c r="P15" s="3" t="s">
        <v>73</v>
      </c>
      <c r="Q15" s="3" t="s">
        <v>314</v>
      </c>
      <c r="R15" s="84" t="s">
        <v>1261</v>
      </c>
      <c r="S15" s="3"/>
      <c r="T15" s="3" t="s">
        <v>89</v>
      </c>
      <c r="U15" s="3"/>
      <c r="V15" s="3"/>
      <c r="W15" s="3"/>
      <c r="X15" s="3" t="s">
        <v>316</v>
      </c>
      <c r="Y15" s="143" t="s">
        <v>1319</v>
      </c>
      <c r="Z15" s="3" t="s">
        <v>1320</v>
      </c>
      <c r="AA15" s="3" t="s">
        <v>252</v>
      </c>
      <c r="AB15" s="8">
        <v>45832</v>
      </c>
      <c r="AC15" s="83" t="s">
        <v>1321</v>
      </c>
      <c r="AD15" s="3" t="s">
        <v>58</v>
      </c>
      <c r="AE15" s="143" t="s">
        <v>1322</v>
      </c>
      <c r="AF15" s="3" t="s">
        <v>574</v>
      </c>
      <c r="AG15" s="1"/>
      <c r="AH15" s="1"/>
      <c r="AI15" s="1"/>
      <c r="AJ15" s="98"/>
      <c r="AK15" s="32"/>
      <c r="AL15" s="88"/>
      <c r="AM15" s="88"/>
    </row>
    <row r="16" spans="1:42" s="101" customFormat="1" ht="405" x14ac:dyDescent="0.2">
      <c r="A16" s="44">
        <f t="shared" si="0"/>
        <v>2</v>
      </c>
      <c r="B16" s="101" t="s">
        <v>1316</v>
      </c>
      <c r="C16" s="115" t="s">
        <v>305</v>
      </c>
      <c r="D16" s="116" t="s">
        <v>1317</v>
      </c>
      <c r="E16" s="90" t="s">
        <v>307</v>
      </c>
      <c r="F16" s="144" t="s">
        <v>1323</v>
      </c>
      <c r="G16" s="90" t="s">
        <v>97</v>
      </c>
      <c r="H16" s="90" t="s">
        <v>161</v>
      </c>
      <c r="I16" s="89" t="s">
        <v>46</v>
      </c>
      <c r="J16" s="90" t="s">
        <v>99</v>
      </c>
      <c r="K16" s="132">
        <v>45831</v>
      </c>
      <c r="L16" s="144" t="s">
        <v>320</v>
      </c>
      <c r="M16" s="90" t="s">
        <v>321</v>
      </c>
      <c r="N16" s="90" t="s">
        <v>312</v>
      </c>
      <c r="O16" s="90" t="s">
        <v>313</v>
      </c>
      <c r="P16" s="90" t="s">
        <v>73</v>
      </c>
      <c r="Q16" s="90" t="s">
        <v>314</v>
      </c>
      <c r="R16" s="89" t="s">
        <v>1261</v>
      </c>
      <c r="S16" s="90"/>
      <c r="T16" s="90" t="s">
        <v>89</v>
      </c>
      <c r="U16" s="90"/>
      <c r="V16" s="90"/>
      <c r="W16" s="90"/>
      <c r="X16" s="90" t="s">
        <v>316</v>
      </c>
      <c r="Y16" s="149" t="s">
        <v>322</v>
      </c>
      <c r="Z16" s="90" t="s">
        <v>1320</v>
      </c>
      <c r="AA16" s="90" t="s">
        <v>252</v>
      </c>
      <c r="AB16" s="103">
        <v>45832</v>
      </c>
      <c r="AC16" s="83" t="s">
        <v>1321</v>
      </c>
      <c r="AD16" s="3" t="s">
        <v>109</v>
      </c>
      <c r="AE16" s="143" t="s">
        <v>1322</v>
      </c>
      <c r="AF16" s="3" t="s">
        <v>574</v>
      </c>
      <c r="AG16" s="1"/>
      <c r="AH16" s="1"/>
      <c r="AI16" s="1"/>
      <c r="AJ16" s="98"/>
      <c r="AK16" s="32"/>
      <c r="AL16" s="88"/>
      <c r="AM16" s="88"/>
    </row>
    <row r="17" spans="1:42" s="101" customFormat="1" ht="151.5" customHeight="1" x14ac:dyDescent="0.2">
      <c r="A17" s="44">
        <f t="shared" si="0"/>
        <v>2</v>
      </c>
      <c r="B17" s="148"/>
      <c r="C17" s="105" t="s">
        <v>323</v>
      </c>
      <c r="D17" s="106" t="s">
        <v>324</v>
      </c>
      <c r="E17" s="107" t="s">
        <v>325</v>
      </c>
      <c r="F17" s="110" t="s">
        <v>1324</v>
      </c>
      <c r="G17" s="83" t="s">
        <v>44</v>
      </c>
      <c r="H17" s="100" t="s">
        <v>285</v>
      </c>
      <c r="I17" s="107" t="s">
        <v>260</v>
      </c>
      <c r="J17" s="3" t="s">
        <v>99</v>
      </c>
      <c r="K17" s="8">
        <v>45838</v>
      </c>
      <c r="L17" s="141" t="s">
        <v>328</v>
      </c>
      <c r="M17" s="6" t="s">
        <v>329</v>
      </c>
      <c r="N17" s="6" t="s">
        <v>330</v>
      </c>
      <c r="O17" s="83" t="s">
        <v>233</v>
      </c>
      <c r="P17" s="6" t="s">
        <v>73</v>
      </c>
      <c r="Q17" s="6"/>
      <c r="R17" s="99" t="s">
        <v>1261</v>
      </c>
      <c r="S17" s="6"/>
      <c r="T17" s="6" t="s">
        <v>89</v>
      </c>
      <c r="U17" s="6"/>
      <c r="V17" s="6"/>
      <c r="W17" s="35"/>
      <c r="X17" s="136" t="s">
        <v>90</v>
      </c>
      <c r="Y17" s="83" t="s">
        <v>332</v>
      </c>
      <c r="Z17" s="83" t="s">
        <v>1325</v>
      </c>
      <c r="AA17" s="6" t="s">
        <v>1225</v>
      </c>
      <c r="AB17" s="134">
        <v>45838</v>
      </c>
      <c r="AC17" s="83" t="s">
        <v>1326</v>
      </c>
      <c r="AD17" s="83" t="s">
        <v>109</v>
      </c>
      <c r="AE17" s="83" t="s">
        <v>1327</v>
      </c>
      <c r="AF17" s="83" t="s">
        <v>1328</v>
      </c>
      <c r="AG17" s="2"/>
      <c r="AH17" s="2"/>
      <c r="AI17" s="2"/>
      <c r="AJ17" s="150"/>
      <c r="AK17" s="32"/>
      <c r="AL17" s="111"/>
      <c r="AM17" s="111"/>
      <c r="AN17" s="104"/>
      <c r="AO17" s="104"/>
      <c r="AP17" s="104"/>
    </row>
    <row r="18" spans="1:42" s="101" customFormat="1" ht="151.5" customHeight="1" x14ac:dyDescent="0.2">
      <c r="A18" s="44">
        <f t="shared" si="0"/>
        <v>2</v>
      </c>
      <c r="B18" s="148"/>
      <c r="C18" s="115" t="s">
        <v>323</v>
      </c>
      <c r="D18" s="116" t="s">
        <v>333</v>
      </c>
      <c r="E18" s="89" t="s">
        <v>325</v>
      </c>
      <c r="F18" s="151" t="s">
        <v>1329</v>
      </c>
      <c r="G18" s="89" t="s">
        <v>44</v>
      </c>
      <c r="H18" s="90" t="s">
        <v>285</v>
      </c>
      <c r="I18" s="89" t="s">
        <v>260</v>
      </c>
      <c r="J18" s="90" t="s">
        <v>99</v>
      </c>
      <c r="K18" s="103">
        <v>45838</v>
      </c>
      <c r="L18" s="133" t="s">
        <v>328</v>
      </c>
      <c r="M18" s="90" t="s">
        <v>329</v>
      </c>
      <c r="N18" s="90" t="s">
        <v>330</v>
      </c>
      <c r="O18" s="89" t="s">
        <v>233</v>
      </c>
      <c r="P18" s="90" t="s">
        <v>73</v>
      </c>
      <c r="Q18" s="90"/>
      <c r="R18" s="117" t="s">
        <v>1261</v>
      </c>
      <c r="S18" s="90"/>
      <c r="T18" s="90" t="s">
        <v>89</v>
      </c>
      <c r="U18" s="90"/>
      <c r="V18" s="90"/>
      <c r="W18" s="91"/>
      <c r="X18" s="144" t="s">
        <v>90</v>
      </c>
      <c r="Y18" s="89" t="s">
        <v>332</v>
      </c>
      <c r="Z18" s="89" t="s">
        <v>1325</v>
      </c>
      <c r="AA18" s="90" t="s">
        <v>1225</v>
      </c>
      <c r="AB18" s="103">
        <v>45838</v>
      </c>
      <c r="AC18" s="83" t="s">
        <v>1326</v>
      </c>
      <c r="AD18" s="83" t="s">
        <v>58</v>
      </c>
      <c r="AE18" s="83" t="s">
        <v>1327</v>
      </c>
      <c r="AF18" s="83" t="s">
        <v>1328</v>
      </c>
      <c r="AG18" s="2"/>
      <c r="AH18" s="2"/>
      <c r="AI18" s="2"/>
      <c r="AJ18" s="150"/>
      <c r="AK18" s="32"/>
      <c r="AL18" s="111"/>
      <c r="AM18" s="111"/>
      <c r="AN18" s="104"/>
      <c r="AO18" s="104"/>
      <c r="AP18" s="104"/>
    </row>
    <row r="19" spans="1:42" s="7" customFormat="1" x14ac:dyDescent="0.2">
      <c r="B19" s="152" t="s">
        <v>61</v>
      </c>
      <c r="C19" s="46" t="s">
        <v>61</v>
      </c>
      <c r="D19" s="46"/>
      <c r="E19" s="32" t="s">
        <v>61</v>
      </c>
      <c r="F19" s="32" t="s">
        <v>61</v>
      </c>
      <c r="G19" s="32" t="s">
        <v>61</v>
      </c>
      <c r="H19" s="32" t="s">
        <v>61</v>
      </c>
      <c r="I19" s="32" t="s">
        <v>61</v>
      </c>
      <c r="J19" s="32" t="s">
        <v>61</v>
      </c>
      <c r="K19" s="32" t="s">
        <v>61</v>
      </c>
      <c r="L19" s="32" t="s">
        <v>61</v>
      </c>
      <c r="M19" s="32" t="s">
        <v>61</v>
      </c>
      <c r="N19" s="32" t="s">
        <v>61</v>
      </c>
      <c r="O19" s="32" t="s">
        <v>61</v>
      </c>
      <c r="P19" s="32" t="s">
        <v>61</v>
      </c>
      <c r="Q19" s="32" t="s">
        <v>61</v>
      </c>
      <c r="R19" s="32" t="s">
        <v>61</v>
      </c>
      <c r="S19" s="32" t="s">
        <v>61</v>
      </c>
      <c r="T19" s="32" t="s">
        <v>61</v>
      </c>
      <c r="U19" s="32" t="s">
        <v>61</v>
      </c>
      <c r="V19" s="32" t="s">
        <v>61</v>
      </c>
      <c r="W19" s="32" t="s">
        <v>61</v>
      </c>
      <c r="X19" s="32" t="s">
        <v>61</v>
      </c>
      <c r="Y19" s="32" t="s">
        <v>61</v>
      </c>
      <c r="Z19" s="32" t="s">
        <v>61</v>
      </c>
      <c r="AA19" s="32" t="s">
        <v>61</v>
      </c>
      <c r="AB19" s="32" t="s">
        <v>61</v>
      </c>
      <c r="AC19" s="32" t="s">
        <v>61</v>
      </c>
      <c r="AD19" s="32" t="s">
        <v>61</v>
      </c>
      <c r="AE19" s="32" t="s">
        <v>61</v>
      </c>
      <c r="AF19" s="32" t="s">
        <v>61</v>
      </c>
      <c r="AG19" s="32" t="s">
        <v>61</v>
      </c>
      <c r="AH19" s="32" t="s">
        <v>61</v>
      </c>
      <c r="AI19" s="32" t="s">
        <v>61</v>
      </c>
      <c r="AJ19" s="32" t="s">
        <v>61</v>
      </c>
      <c r="AK19"/>
      <c r="AL19" s="50"/>
      <c r="AM19" s="50"/>
    </row>
    <row r="24" spans="1:42" x14ac:dyDescent="0.2">
      <c r="H24" s="153"/>
    </row>
    <row r="33" spans="1:42" s="163" customFormat="1" x14ac:dyDescent="0.2">
      <c r="A33" s="154"/>
      <c r="B33" s="154" t="s">
        <v>1330</v>
      </c>
      <c r="C33" s="155"/>
      <c r="D33" s="155" t="s">
        <v>1331</v>
      </c>
      <c r="E33" s="156" t="s">
        <v>255</v>
      </c>
      <c r="F33" s="157" t="s">
        <v>1332</v>
      </c>
      <c r="G33" s="156" t="s">
        <v>271</v>
      </c>
      <c r="H33" s="158" t="s">
        <v>161</v>
      </c>
      <c r="I33" s="156" t="s">
        <v>162</v>
      </c>
      <c r="J33" s="158" t="s">
        <v>1312</v>
      </c>
      <c r="K33" s="159">
        <v>45887</v>
      </c>
      <c r="L33" s="156" t="s">
        <v>1333</v>
      </c>
      <c r="M33" s="158" t="s">
        <v>1334</v>
      </c>
      <c r="N33" s="158" t="s">
        <v>1335</v>
      </c>
      <c r="O33" s="156"/>
      <c r="P33" s="158"/>
      <c r="Q33" s="158"/>
      <c r="R33" s="156" t="s">
        <v>1336</v>
      </c>
      <c r="S33" s="158"/>
      <c r="T33" s="158"/>
      <c r="U33" s="158"/>
      <c r="V33" s="158"/>
      <c r="W33" s="158"/>
      <c r="X33" s="158"/>
      <c r="Y33" s="156" t="s">
        <v>1337</v>
      </c>
      <c r="Z33" s="156"/>
      <c r="AA33" s="158" t="s">
        <v>252</v>
      </c>
      <c r="AB33" s="158">
        <v>45887</v>
      </c>
      <c r="AC33" s="156" t="s">
        <v>1338</v>
      </c>
      <c r="AD33" s="160" t="s">
        <v>58</v>
      </c>
      <c r="AE33" s="156"/>
      <c r="AF33" s="156"/>
      <c r="AG33" s="158"/>
      <c r="AH33" s="158"/>
      <c r="AI33" s="158"/>
      <c r="AJ33" s="158"/>
      <c r="AK33" s="161"/>
      <c r="AL33" s="162"/>
      <c r="AM33" s="162"/>
      <c r="AN33" s="154"/>
      <c r="AO33" s="154"/>
      <c r="AP33" s="154"/>
    </row>
  </sheetData>
  <autoFilter ref="A3:AO19" xr:uid="{C298457E-586E-4463-95E1-266254F8DAE6}"/>
  <mergeCells count="2">
    <mergeCell ref="E1:G1"/>
    <mergeCell ref="H1:J1"/>
  </mergeCells>
  <phoneticPr fontId="2"/>
  <conditionalFormatting sqref="C4:AM18 B19:AM19">
    <cfRule type="expression" dxfId="1" priority="2">
      <formula>OR($T4="取り下げ",$T4="移管",$T4="保留")</formula>
    </cfRule>
  </conditionalFormatting>
  <dataValidations count="1">
    <dataValidation type="list" allowBlank="1" showInputMessage="1" showErrorMessage="1" sqref="G4" xr:uid="{CF0F171F-6F63-42A8-8B0E-D9AF43AC0358}">
      <formula1>"機能追加,機能改善,要件不備対応,仕様不備対応"</formula1>
    </dataValidation>
  </dataValidations>
  <pageMargins left="0.25" right="0.25" top="0.75" bottom="0.75" header="0.3" footer="0.3"/>
  <pageSetup paperSize="8" scale="20" fitToHeight="0" orientation="landscap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73460-4553-436D-BFC6-69C4709D7F2C}">
  <sheetPr codeName="Sheet5">
    <tabColor theme="9" tint="0.79998168889431442"/>
    <pageSetUpPr fitToPage="1"/>
  </sheetPr>
  <dimension ref="A1:AP193"/>
  <sheetViews>
    <sheetView zoomScale="67" zoomScaleNormal="85" zoomScalePageLayoutView="40" workbookViewId="0">
      <pane xSplit="6" ySplit="3" topLeftCell="H172" activePane="bottomRight" state="frozen"/>
      <selection pane="topRight" sqref="A1:XFD1048576"/>
      <selection pane="bottomLeft" sqref="A1:XFD1048576"/>
      <selection pane="bottomRight" activeCell="M175" sqref="M175"/>
    </sheetView>
  </sheetViews>
  <sheetFormatPr defaultColWidth="9" defaultRowHeight="15" outlineLevelCol="2" x14ac:dyDescent="0.2"/>
  <cols>
    <col min="1" max="1" width="3.08984375" style="44" customWidth="1"/>
    <col min="2" max="2" width="11.08984375" style="45" customWidth="1"/>
    <col min="3" max="4" width="6.08984375" style="46" customWidth="1"/>
    <col min="5" max="5" width="13.08984375" style="47" customWidth="1"/>
    <col min="6" max="6" width="37.08984375" style="5" customWidth="1"/>
    <col min="7" max="7" width="12.08984375" style="47" customWidth="1" outlineLevel="1"/>
    <col min="8" max="8" width="13.08984375" style="5" customWidth="1" outlineLevel="1"/>
    <col min="9" max="9" width="13.08984375" style="47" hidden="1" customWidth="1" outlineLevel="2" collapsed="1"/>
    <col min="10" max="10" width="10.08984375" style="5" customWidth="1" outlineLevel="1" collapsed="1"/>
    <col min="11" max="11" width="12" style="30" customWidth="1" outlineLevel="1"/>
    <col min="12" max="12" width="44.08984375" style="47" customWidth="1"/>
    <col min="13" max="13" width="67.90625" style="5" customWidth="1"/>
    <col min="14" max="14" width="68.08984375" style="5" customWidth="1" outlineLevel="1"/>
    <col min="15" max="15" width="23" style="47" customWidth="1" outlineLevel="1" collapsed="1"/>
    <col min="16" max="17" width="9" style="5" customWidth="1" outlineLevel="1"/>
    <col min="18" max="18" width="15" style="47" customWidth="1"/>
    <col min="19" max="19" width="11.90625" style="5" customWidth="1" outlineLevel="1"/>
    <col min="20" max="20" width="9" style="5" customWidth="1" outlineLevel="1"/>
    <col min="21" max="21" width="12.08984375" style="5" customWidth="1" outlineLevel="1"/>
    <col min="22" max="22" width="23.08984375" style="5" customWidth="1" outlineLevel="1"/>
    <col min="23" max="23" width="23.08984375" style="5" customWidth="1" outlineLevel="1" collapsed="1"/>
    <col min="24" max="24" width="43.08984375" style="5" customWidth="1" outlineLevel="1"/>
    <col min="25" max="25" width="70" style="47" customWidth="1"/>
    <col min="26" max="26" width="42" style="47" customWidth="1" outlineLevel="1"/>
    <col min="27" max="27" width="13.08984375" style="5" customWidth="1" outlineLevel="1"/>
    <col min="28" max="28" width="17.08984375" style="5" customWidth="1" outlineLevel="1"/>
    <col min="29" max="29" width="30.08984375" style="47" customWidth="1"/>
    <col min="30" max="30" width="10.08984375" style="48" customWidth="1"/>
    <col min="31" max="31" width="121.08984375" style="47" customWidth="1"/>
    <col min="32" max="32" width="30.08984375" style="47" customWidth="1"/>
    <col min="33" max="33" width="30.08984375" style="5" customWidth="1" outlineLevel="2"/>
    <col min="34" max="34" width="21.08984375" style="5" customWidth="1" outlineLevel="2"/>
    <col min="35" max="35" width="15.08984375" style="5" customWidth="1" outlineLevel="2"/>
    <col min="36" max="36" width="14.08984375" style="5" customWidth="1" outlineLevel="2"/>
    <col min="37" max="37" width="9" style="49"/>
    <col min="38" max="38" width="9" style="50" bestFit="1" customWidth="1"/>
    <col min="39" max="39" width="64.08984375" style="50" customWidth="1"/>
    <col min="40" max="16384" width="9" style="44"/>
  </cols>
  <sheetData>
    <row r="1" spans="1:41" x14ac:dyDescent="0.2">
      <c r="E1" s="495" t="s">
        <v>1246</v>
      </c>
      <c r="F1" s="496"/>
      <c r="G1" s="495"/>
      <c r="H1" s="497"/>
      <c r="I1" s="497"/>
      <c r="J1" s="497"/>
    </row>
    <row r="2" spans="1:41" s="51" customFormat="1" x14ac:dyDescent="0.2">
      <c r="B2" s="52"/>
      <c r="C2" s="53" t="s">
        <v>1</v>
      </c>
      <c r="D2" s="54"/>
      <c r="E2" s="55"/>
      <c r="F2" s="56"/>
      <c r="G2" s="55"/>
      <c r="H2" s="18"/>
      <c r="I2" s="55"/>
      <c r="J2" s="18"/>
      <c r="K2" s="28"/>
      <c r="L2" s="55"/>
      <c r="M2" s="18"/>
      <c r="N2" s="18"/>
      <c r="O2" s="55"/>
      <c r="P2" s="18"/>
      <c r="Q2" s="18"/>
      <c r="R2" s="57"/>
      <c r="S2" s="19" t="s">
        <v>2</v>
      </c>
      <c r="T2" s="19"/>
      <c r="U2" s="27"/>
      <c r="V2" s="20"/>
      <c r="W2" s="27"/>
      <c r="X2" s="21" t="s">
        <v>1247</v>
      </c>
      <c r="Y2" s="58"/>
      <c r="Z2" s="59"/>
      <c r="AA2" s="22"/>
      <c r="AB2" s="22"/>
      <c r="AC2" s="60" t="s">
        <v>1248</v>
      </c>
      <c r="AD2" s="61"/>
      <c r="AE2" s="62"/>
      <c r="AF2" s="63"/>
      <c r="AG2" s="64"/>
      <c r="AH2" s="65" t="s">
        <v>1249</v>
      </c>
      <c r="AI2" s="64"/>
      <c r="AJ2" s="64"/>
      <c r="AK2" s="66"/>
      <c r="AL2" s="67" t="s">
        <v>1250</v>
      </c>
      <c r="AM2" s="68"/>
    </row>
    <row r="3" spans="1:41" s="69" customFormat="1" ht="45" x14ac:dyDescent="0.2">
      <c r="B3" s="70" t="s">
        <v>1251</v>
      </c>
      <c r="C3" s="71" t="s">
        <v>4</v>
      </c>
      <c r="D3" s="72" t="s">
        <v>5</v>
      </c>
      <c r="E3" s="73" t="s">
        <v>1339</v>
      </c>
      <c r="F3" s="37" t="s">
        <v>7</v>
      </c>
      <c r="G3" s="73" t="s">
        <v>9</v>
      </c>
      <c r="H3" s="10" t="s">
        <v>10</v>
      </c>
      <c r="I3" s="73" t="s">
        <v>11</v>
      </c>
      <c r="J3" s="10" t="s">
        <v>12</v>
      </c>
      <c r="K3" s="29" t="s">
        <v>13</v>
      </c>
      <c r="L3" s="73" t="s">
        <v>14</v>
      </c>
      <c r="M3" s="10" t="s">
        <v>15</v>
      </c>
      <c r="N3" s="10" t="s">
        <v>16</v>
      </c>
      <c r="O3" s="73" t="s">
        <v>1203</v>
      </c>
      <c r="P3" s="10" t="s">
        <v>19</v>
      </c>
      <c r="Q3" s="10" t="s">
        <v>20</v>
      </c>
      <c r="R3" s="73" t="s">
        <v>21</v>
      </c>
      <c r="S3" s="11" t="s">
        <v>1205</v>
      </c>
      <c r="T3" s="11" t="s">
        <v>22</v>
      </c>
      <c r="U3" s="11" t="s">
        <v>23</v>
      </c>
      <c r="V3" s="11" t="s">
        <v>24</v>
      </c>
      <c r="W3" s="11" t="s">
        <v>25</v>
      </c>
      <c r="X3" s="12" t="s">
        <v>1208</v>
      </c>
      <c r="Y3" s="74" t="s">
        <v>1252</v>
      </c>
      <c r="Z3" s="74" t="s">
        <v>1253</v>
      </c>
      <c r="AA3" s="12" t="s">
        <v>31</v>
      </c>
      <c r="AB3" s="12" t="s">
        <v>32</v>
      </c>
      <c r="AC3" s="75" t="s">
        <v>1254</v>
      </c>
      <c r="AD3" s="76" t="s">
        <v>27</v>
      </c>
      <c r="AE3" s="76" t="s">
        <v>1255</v>
      </c>
      <c r="AF3" s="75" t="s">
        <v>1214</v>
      </c>
      <c r="AG3" s="14" t="s">
        <v>1215</v>
      </c>
      <c r="AH3" s="13" t="s">
        <v>1216</v>
      </c>
      <c r="AI3" s="13" t="s">
        <v>31</v>
      </c>
      <c r="AJ3" s="13" t="s">
        <v>32</v>
      </c>
      <c r="AL3" s="77" t="s">
        <v>1256</v>
      </c>
      <c r="AM3" s="77" t="s">
        <v>1257</v>
      </c>
      <c r="AO3" s="78" t="s">
        <v>1258</v>
      </c>
    </row>
    <row r="4" spans="1:41" ht="360.75" customHeight="1" x14ac:dyDescent="0.2">
      <c r="B4" s="79"/>
      <c r="C4" s="80" t="s">
        <v>1340</v>
      </c>
      <c r="D4" s="81" t="s">
        <v>1341</v>
      </c>
      <c r="E4" s="82" t="s">
        <v>1342</v>
      </c>
      <c r="F4" s="83" t="s">
        <v>1343</v>
      </c>
      <c r="G4" s="82" t="s">
        <v>258</v>
      </c>
      <c r="H4" s="4" t="s">
        <v>98</v>
      </c>
      <c r="I4" s="82" t="s">
        <v>46</v>
      </c>
      <c r="J4" s="33" t="s">
        <v>99</v>
      </c>
      <c r="K4" s="34">
        <v>45748</v>
      </c>
      <c r="L4" s="82" t="s">
        <v>1344</v>
      </c>
      <c r="M4" s="3" t="s">
        <v>1345</v>
      </c>
      <c r="N4" s="3" t="s">
        <v>135</v>
      </c>
      <c r="O4" s="84" t="s">
        <v>1346</v>
      </c>
      <c r="P4" s="3" t="s">
        <v>73</v>
      </c>
      <c r="Q4" s="3" t="s">
        <v>197</v>
      </c>
      <c r="R4" s="84" t="s">
        <v>1223</v>
      </c>
      <c r="S4" s="186"/>
      <c r="T4" s="85" t="s">
        <v>55</v>
      </c>
      <c r="U4" s="35"/>
      <c r="V4" s="2"/>
      <c r="W4" s="1" t="s">
        <v>1347</v>
      </c>
      <c r="X4" s="3" t="s">
        <v>513</v>
      </c>
      <c r="Y4" s="84" t="s">
        <v>1348</v>
      </c>
      <c r="Z4" s="84" t="s">
        <v>1349</v>
      </c>
      <c r="AA4" s="3" t="s">
        <v>1225</v>
      </c>
      <c r="AB4" s="8">
        <v>45800</v>
      </c>
      <c r="AC4" s="86" t="s">
        <v>1350</v>
      </c>
      <c r="AD4" s="84" t="s">
        <v>58</v>
      </c>
      <c r="AE4" s="84" t="s">
        <v>1351</v>
      </c>
      <c r="AF4" s="84" t="s">
        <v>574</v>
      </c>
      <c r="AG4" s="87" t="s">
        <v>202</v>
      </c>
      <c r="AH4" s="87" t="s">
        <v>202</v>
      </c>
      <c r="AI4" s="87"/>
      <c r="AJ4" s="187"/>
      <c r="AK4" s="32" t="s">
        <v>61</v>
      </c>
      <c r="AL4" s="88" t="s">
        <v>1352</v>
      </c>
      <c r="AM4" s="88" t="s">
        <v>1353</v>
      </c>
    </row>
    <row r="5" spans="1:41" ht="364.5" x14ac:dyDescent="0.2">
      <c r="B5" s="188"/>
      <c r="C5" s="189" t="s">
        <v>1340</v>
      </c>
      <c r="D5" s="190" t="s">
        <v>1341</v>
      </c>
      <c r="E5" s="89" t="s">
        <v>64</v>
      </c>
      <c r="F5" s="89" t="s">
        <v>1343</v>
      </c>
      <c r="G5" s="89" t="s">
        <v>258</v>
      </c>
      <c r="H5" s="90" t="s">
        <v>98</v>
      </c>
      <c r="I5" s="89" t="s">
        <v>46</v>
      </c>
      <c r="J5" s="103" t="s">
        <v>99</v>
      </c>
      <c r="K5" s="191">
        <v>45748</v>
      </c>
      <c r="L5" s="89" t="s">
        <v>1344</v>
      </c>
      <c r="M5" s="90" t="s">
        <v>1345</v>
      </c>
      <c r="N5" s="90" t="s">
        <v>135</v>
      </c>
      <c r="O5" s="89" t="s">
        <v>1346</v>
      </c>
      <c r="P5" s="90" t="s">
        <v>73</v>
      </c>
      <c r="Q5" s="90" t="s">
        <v>197</v>
      </c>
      <c r="R5" s="89" t="s">
        <v>1223</v>
      </c>
      <c r="S5" s="91"/>
      <c r="T5" s="90" t="s">
        <v>55</v>
      </c>
      <c r="U5" s="91"/>
      <c r="V5" s="2"/>
      <c r="W5" s="1" t="s">
        <v>135</v>
      </c>
      <c r="X5" s="90" t="s">
        <v>513</v>
      </c>
      <c r="Y5" s="89" t="s">
        <v>1354</v>
      </c>
      <c r="Z5" s="84" t="s">
        <v>1349</v>
      </c>
      <c r="AA5" s="3" t="s">
        <v>1225</v>
      </c>
      <c r="AB5" s="8">
        <v>45800</v>
      </c>
      <c r="AC5" s="86" t="s">
        <v>1355</v>
      </c>
      <c r="AD5" s="84" t="s">
        <v>109</v>
      </c>
      <c r="AE5" s="84" t="s">
        <v>1356</v>
      </c>
      <c r="AF5" s="84" t="s">
        <v>574</v>
      </c>
      <c r="AG5" s="87" t="s">
        <v>202</v>
      </c>
      <c r="AH5" s="87" t="s">
        <v>202</v>
      </c>
      <c r="AI5" s="87"/>
      <c r="AJ5" s="192"/>
      <c r="AK5" s="32" t="s">
        <v>61</v>
      </c>
      <c r="AL5" s="88"/>
      <c r="AM5" s="88"/>
    </row>
    <row r="6" spans="1:41" s="7" customFormat="1" ht="30" x14ac:dyDescent="0.2">
      <c r="B6" s="92"/>
      <c r="C6" s="80" t="s">
        <v>1357</v>
      </c>
      <c r="D6" s="81" t="s">
        <v>1358</v>
      </c>
      <c r="E6" s="4" t="s">
        <v>64</v>
      </c>
      <c r="F6" s="4" t="s">
        <v>1359</v>
      </c>
      <c r="G6" s="4" t="s">
        <v>44</v>
      </c>
      <c r="H6" s="4" t="s">
        <v>98</v>
      </c>
      <c r="I6" s="4" t="s">
        <v>46</v>
      </c>
      <c r="J6" s="4" t="s">
        <v>99</v>
      </c>
      <c r="K6" s="34">
        <v>45748</v>
      </c>
      <c r="L6" s="4" t="s">
        <v>1360</v>
      </c>
      <c r="M6" s="4"/>
      <c r="N6" s="4"/>
      <c r="O6" s="4"/>
      <c r="P6" s="4"/>
      <c r="Q6" s="4"/>
      <c r="R6" s="4"/>
      <c r="S6" s="93"/>
      <c r="T6" s="4" t="s">
        <v>55</v>
      </c>
      <c r="U6" s="4"/>
      <c r="V6" s="93"/>
      <c r="W6" s="93"/>
      <c r="X6" s="4"/>
      <c r="Y6" s="4"/>
      <c r="Z6" s="4"/>
      <c r="AA6" s="4" t="s">
        <v>1225</v>
      </c>
      <c r="AB6" s="4"/>
      <c r="AC6" s="94"/>
      <c r="AD6" s="4"/>
      <c r="AE6" s="94"/>
      <c r="AF6" s="94"/>
      <c r="AG6" s="94"/>
      <c r="AH6" s="94"/>
      <c r="AI6" s="94"/>
      <c r="AJ6" s="94"/>
      <c r="AK6" s="32" t="s">
        <v>61</v>
      </c>
      <c r="AL6" s="95"/>
      <c r="AM6" s="95"/>
    </row>
    <row r="7" spans="1:41" ht="135" x14ac:dyDescent="0.2">
      <c r="C7" s="363" t="s">
        <v>1361</v>
      </c>
      <c r="D7" s="81" t="s">
        <v>1362</v>
      </c>
      <c r="E7" s="82" t="s">
        <v>813</v>
      </c>
      <c r="F7" s="82" t="s">
        <v>1363</v>
      </c>
      <c r="G7" s="82" t="s">
        <v>44</v>
      </c>
      <c r="H7" s="4" t="s">
        <v>98</v>
      </c>
      <c r="I7" s="82" t="s">
        <v>46</v>
      </c>
      <c r="J7" s="4" t="s">
        <v>99</v>
      </c>
      <c r="K7" s="34">
        <v>45748</v>
      </c>
      <c r="L7" s="82" t="s">
        <v>1364</v>
      </c>
      <c r="M7" s="3" t="s">
        <v>1365</v>
      </c>
      <c r="N7" s="3" t="s">
        <v>1366</v>
      </c>
      <c r="O7" s="84" t="s">
        <v>135</v>
      </c>
      <c r="P7" s="3" t="s">
        <v>73</v>
      </c>
      <c r="Q7" s="3" t="s">
        <v>197</v>
      </c>
      <c r="R7" s="84" t="s">
        <v>1223</v>
      </c>
      <c r="S7" s="186"/>
      <c r="T7" s="3" t="s">
        <v>1218</v>
      </c>
      <c r="U7" s="96" t="s">
        <v>1217</v>
      </c>
      <c r="V7" s="1" t="s">
        <v>1223</v>
      </c>
      <c r="W7" s="186" t="s">
        <v>135</v>
      </c>
      <c r="X7" s="3" t="s">
        <v>513</v>
      </c>
      <c r="Y7" s="84" t="s">
        <v>1367</v>
      </c>
      <c r="Z7" s="84" t="s">
        <v>1368</v>
      </c>
      <c r="AA7" s="3" t="s">
        <v>1225</v>
      </c>
      <c r="AB7" s="8">
        <v>45799</v>
      </c>
      <c r="AC7" s="86" t="s">
        <v>1300</v>
      </c>
      <c r="AD7" s="84" t="s">
        <v>58</v>
      </c>
      <c r="AE7" s="84" t="s">
        <v>1369</v>
      </c>
      <c r="AF7" s="83" t="s">
        <v>574</v>
      </c>
      <c r="AG7" s="87" t="s">
        <v>202</v>
      </c>
      <c r="AH7" s="87" t="s">
        <v>202</v>
      </c>
      <c r="AI7" s="87"/>
      <c r="AJ7" s="192"/>
      <c r="AK7" s="32" t="s">
        <v>61</v>
      </c>
      <c r="AL7" s="88"/>
      <c r="AM7" s="88"/>
    </row>
    <row r="8" spans="1:41" ht="269.25" customHeight="1" x14ac:dyDescent="0.2">
      <c r="C8" s="363" t="s">
        <v>1370</v>
      </c>
      <c r="D8" s="81" t="s">
        <v>1371</v>
      </c>
      <c r="E8" s="82" t="s">
        <v>1342</v>
      </c>
      <c r="F8" s="82" t="s">
        <v>1372</v>
      </c>
      <c r="G8" s="82" t="s">
        <v>258</v>
      </c>
      <c r="H8" s="4" t="s">
        <v>83</v>
      </c>
      <c r="I8" s="82" t="s">
        <v>46</v>
      </c>
      <c r="J8" s="4" t="s">
        <v>99</v>
      </c>
      <c r="K8" s="34">
        <v>45748</v>
      </c>
      <c r="L8" s="82" t="s">
        <v>1373</v>
      </c>
      <c r="M8" s="3" t="s">
        <v>1374</v>
      </c>
      <c r="N8" s="3" t="s">
        <v>135</v>
      </c>
      <c r="O8" s="84" t="s">
        <v>1375</v>
      </c>
      <c r="P8" s="3" t="s">
        <v>73</v>
      </c>
      <c r="Q8" s="3" t="s">
        <v>197</v>
      </c>
      <c r="R8" s="84" t="s">
        <v>1223</v>
      </c>
      <c r="S8" s="186"/>
      <c r="T8" s="3" t="s">
        <v>1218</v>
      </c>
      <c r="U8" s="96" t="s">
        <v>1217</v>
      </c>
      <c r="V8" s="2" t="s">
        <v>1376</v>
      </c>
      <c r="W8" s="186" t="s">
        <v>135</v>
      </c>
      <c r="X8" s="3" t="s">
        <v>1377</v>
      </c>
      <c r="Y8" s="364" t="s">
        <v>1378</v>
      </c>
      <c r="Z8" s="84" t="s">
        <v>1379</v>
      </c>
      <c r="AA8" s="3" t="s">
        <v>1225</v>
      </c>
      <c r="AB8" s="8">
        <v>45800</v>
      </c>
      <c r="AC8" s="86" t="s">
        <v>75</v>
      </c>
      <c r="AD8" s="84" t="s">
        <v>58</v>
      </c>
      <c r="AE8" s="84" t="s">
        <v>1380</v>
      </c>
      <c r="AF8" s="83" t="s">
        <v>574</v>
      </c>
      <c r="AG8" s="87" t="s">
        <v>202</v>
      </c>
      <c r="AH8" s="87" t="s">
        <v>202</v>
      </c>
      <c r="AI8" s="87"/>
      <c r="AJ8" s="192"/>
      <c r="AK8" s="32" t="s">
        <v>61</v>
      </c>
      <c r="AL8" s="88"/>
      <c r="AM8" s="88"/>
    </row>
    <row r="9" spans="1:41" ht="150" x14ac:dyDescent="0.2">
      <c r="C9" s="363" t="s">
        <v>1381</v>
      </c>
      <c r="D9" s="81" t="s">
        <v>1382</v>
      </c>
      <c r="E9" s="82" t="s">
        <v>41</v>
      </c>
      <c r="F9" s="82" t="s">
        <v>1383</v>
      </c>
      <c r="G9" s="82" t="s">
        <v>44</v>
      </c>
      <c r="H9" s="4" t="s">
        <v>45</v>
      </c>
      <c r="I9" s="82" t="s">
        <v>46</v>
      </c>
      <c r="J9" s="4" t="s">
        <v>99</v>
      </c>
      <c r="K9" s="34">
        <v>45748</v>
      </c>
      <c r="L9" s="82" t="s">
        <v>1384</v>
      </c>
      <c r="M9" s="3" t="s">
        <v>1385</v>
      </c>
      <c r="N9" s="4" t="s">
        <v>1386</v>
      </c>
      <c r="O9" s="82" t="s">
        <v>1387</v>
      </c>
      <c r="P9" s="4" t="s">
        <v>53</v>
      </c>
      <c r="Q9" s="4"/>
      <c r="R9" s="84" t="s">
        <v>1223</v>
      </c>
      <c r="S9" s="97"/>
      <c r="T9" s="1" t="s">
        <v>1218</v>
      </c>
      <c r="U9" s="96" t="s">
        <v>1217</v>
      </c>
      <c r="V9" s="1" t="s">
        <v>1223</v>
      </c>
      <c r="W9" s="1" t="s">
        <v>1262</v>
      </c>
      <c r="X9" s="1" t="s">
        <v>1388</v>
      </c>
      <c r="Y9" s="84" t="s">
        <v>1389</v>
      </c>
      <c r="Z9" s="84" t="s">
        <v>1390</v>
      </c>
      <c r="AA9" s="1" t="s">
        <v>1225</v>
      </c>
      <c r="AB9" s="98">
        <v>45800</v>
      </c>
      <c r="AC9" s="85" t="s">
        <v>1391</v>
      </c>
      <c r="AD9" s="85" t="s">
        <v>58</v>
      </c>
      <c r="AE9" s="84" t="s">
        <v>1392</v>
      </c>
      <c r="AF9" s="85" t="s">
        <v>1393</v>
      </c>
      <c r="AG9" s="193" t="s">
        <v>202</v>
      </c>
      <c r="AH9" s="1" t="s">
        <v>60</v>
      </c>
      <c r="AI9" s="1"/>
      <c r="AJ9" s="8"/>
      <c r="AK9" s="32" t="s">
        <v>61</v>
      </c>
      <c r="AL9" s="88"/>
      <c r="AM9" s="194"/>
    </row>
    <row r="10" spans="1:41" ht="157.5" customHeight="1" x14ac:dyDescent="0.2">
      <c r="B10" s="50"/>
      <c r="C10" s="363" t="s">
        <v>1259</v>
      </c>
      <c r="D10" s="81" t="s">
        <v>1260</v>
      </c>
      <c r="E10" s="82" t="s">
        <v>41</v>
      </c>
      <c r="F10" s="99" t="s">
        <v>42</v>
      </c>
      <c r="G10" s="82" t="s">
        <v>44</v>
      </c>
      <c r="H10" s="4" t="s">
        <v>45</v>
      </c>
      <c r="I10" s="82" t="s">
        <v>46</v>
      </c>
      <c r="J10" s="4" t="s">
        <v>99</v>
      </c>
      <c r="K10" s="34">
        <v>45748</v>
      </c>
      <c r="L10" s="82" t="s">
        <v>48</v>
      </c>
      <c r="M10" s="3" t="s">
        <v>49</v>
      </c>
      <c r="N10" s="3" t="s">
        <v>50</v>
      </c>
      <c r="O10" s="82" t="s">
        <v>51</v>
      </c>
      <c r="P10" s="4" t="s">
        <v>53</v>
      </c>
      <c r="Q10" s="4"/>
      <c r="R10" s="99" t="s">
        <v>1261</v>
      </c>
      <c r="S10" s="97"/>
      <c r="T10" s="1" t="s">
        <v>89</v>
      </c>
      <c r="U10" s="96"/>
      <c r="V10" s="1"/>
      <c r="W10" s="1" t="s">
        <v>1262</v>
      </c>
      <c r="X10" s="1" t="s">
        <v>57</v>
      </c>
      <c r="Y10" s="84" t="s">
        <v>59</v>
      </c>
      <c r="Z10" s="84" t="s">
        <v>1263</v>
      </c>
      <c r="AA10" s="1" t="s">
        <v>1225</v>
      </c>
      <c r="AB10" s="98">
        <v>45800</v>
      </c>
      <c r="AC10" s="85" t="s">
        <v>1264</v>
      </c>
      <c r="AD10" s="85" t="s">
        <v>58</v>
      </c>
      <c r="AE10" s="84" t="s">
        <v>1265</v>
      </c>
      <c r="AF10" s="85" t="s">
        <v>1266</v>
      </c>
      <c r="AG10" s="1"/>
      <c r="AH10" s="1" t="s">
        <v>60</v>
      </c>
      <c r="AI10" s="1"/>
      <c r="AJ10" s="98"/>
      <c r="AK10" s="32" t="s">
        <v>61</v>
      </c>
      <c r="AL10" s="88"/>
      <c r="AM10" s="88"/>
    </row>
    <row r="11" spans="1:41" s="7" customFormat="1" ht="47.25" customHeight="1" x14ac:dyDescent="0.2">
      <c r="B11" s="92"/>
      <c r="C11" s="360" t="s">
        <v>1267</v>
      </c>
      <c r="D11" s="81" t="s">
        <v>1268</v>
      </c>
      <c r="E11" s="4" t="s">
        <v>64</v>
      </c>
      <c r="F11" s="4" t="s">
        <v>65</v>
      </c>
      <c r="G11" s="4" t="s">
        <v>44</v>
      </c>
      <c r="H11" s="4" t="s">
        <v>67</v>
      </c>
      <c r="I11" s="4" t="s">
        <v>46</v>
      </c>
      <c r="J11" s="4" t="s">
        <v>99</v>
      </c>
      <c r="K11" s="34">
        <v>45748</v>
      </c>
      <c r="L11" s="4" t="s">
        <v>68</v>
      </c>
      <c r="M11" s="4"/>
      <c r="N11" s="4"/>
      <c r="O11" s="4" t="s">
        <v>71</v>
      </c>
      <c r="P11" s="4"/>
      <c r="Q11" s="4"/>
      <c r="R11" s="3" t="s">
        <v>1261</v>
      </c>
      <c r="S11" s="93"/>
      <c r="T11" s="100" t="s">
        <v>89</v>
      </c>
      <c r="U11" s="93"/>
      <c r="V11" s="93"/>
      <c r="W11" s="93"/>
      <c r="X11" s="4"/>
      <c r="Y11" s="4"/>
      <c r="Z11" s="4"/>
      <c r="AA11" s="4" t="s">
        <v>1225</v>
      </c>
      <c r="AB11" s="4"/>
      <c r="AC11" s="94"/>
      <c r="AD11" s="4"/>
      <c r="AE11" s="94"/>
      <c r="AF11" s="83" t="s">
        <v>574</v>
      </c>
      <c r="AG11" s="94"/>
      <c r="AH11" s="94"/>
      <c r="AI11" s="94"/>
      <c r="AJ11" s="94"/>
      <c r="AK11" s="32" t="s">
        <v>61</v>
      </c>
      <c r="AL11" s="95"/>
      <c r="AM11" s="95"/>
    </row>
    <row r="12" spans="1:41" s="7" customFormat="1" ht="31.5" customHeight="1" x14ac:dyDescent="0.2">
      <c r="B12" s="92"/>
      <c r="C12" s="360" t="s">
        <v>1394</v>
      </c>
      <c r="D12" s="81" t="s">
        <v>1395</v>
      </c>
      <c r="E12" s="4" t="s">
        <v>1396</v>
      </c>
      <c r="F12" s="4" t="s">
        <v>1397</v>
      </c>
      <c r="G12" s="4" t="s">
        <v>44</v>
      </c>
      <c r="H12" s="4" t="s">
        <v>67</v>
      </c>
      <c r="I12" s="4" t="s">
        <v>46</v>
      </c>
      <c r="J12" s="4" t="s">
        <v>99</v>
      </c>
      <c r="K12" s="34">
        <v>45748</v>
      </c>
      <c r="L12" s="4" t="s">
        <v>1398</v>
      </c>
      <c r="M12" s="4"/>
      <c r="N12" s="4"/>
      <c r="O12" s="4" t="s">
        <v>73</v>
      </c>
      <c r="P12" s="4"/>
      <c r="Q12" s="4"/>
      <c r="R12" s="3" t="s">
        <v>1261</v>
      </c>
      <c r="S12" s="93"/>
      <c r="T12" s="100" t="s">
        <v>89</v>
      </c>
      <c r="U12" s="93"/>
      <c r="V12" s="93"/>
      <c r="W12" s="93"/>
      <c r="X12" s="4"/>
      <c r="Y12" s="4"/>
      <c r="Z12" s="4"/>
      <c r="AA12" s="4" t="s">
        <v>1225</v>
      </c>
      <c r="AB12" s="4"/>
      <c r="AC12" s="94"/>
      <c r="AD12" s="4"/>
      <c r="AE12" s="94"/>
      <c r="AF12" s="83" t="s">
        <v>574</v>
      </c>
      <c r="AG12" s="94"/>
      <c r="AH12" s="94"/>
      <c r="AI12" s="94"/>
      <c r="AJ12" s="94"/>
      <c r="AK12" s="32" t="s">
        <v>61</v>
      </c>
      <c r="AL12" s="95"/>
      <c r="AM12" s="95"/>
    </row>
    <row r="13" spans="1:41" s="195" customFormat="1" ht="204.75" customHeight="1" x14ac:dyDescent="0.2">
      <c r="B13" s="101"/>
      <c r="C13" s="372" t="s">
        <v>1399</v>
      </c>
      <c r="D13" s="196" t="s">
        <v>1400</v>
      </c>
      <c r="E13" s="197" t="s">
        <v>325</v>
      </c>
      <c r="F13" s="197" t="s">
        <v>1401</v>
      </c>
      <c r="G13" s="197" t="s">
        <v>1227</v>
      </c>
      <c r="H13" s="198" t="s">
        <v>285</v>
      </c>
      <c r="I13" s="197" t="s">
        <v>46</v>
      </c>
      <c r="J13" s="100" t="s">
        <v>99</v>
      </c>
      <c r="K13" s="199">
        <v>45748</v>
      </c>
      <c r="L13" s="197" t="s">
        <v>1402</v>
      </c>
      <c r="M13" s="197" t="s">
        <v>1403</v>
      </c>
      <c r="N13" s="197" t="s">
        <v>263</v>
      </c>
      <c r="O13" s="100" t="s">
        <v>1404</v>
      </c>
      <c r="P13" s="197" t="s">
        <v>1236</v>
      </c>
      <c r="Q13" s="198" t="s">
        <v>197</v>
      </c>
      <c r="R13" s="198" t="s">
        <v>1405</v>
      </c>
      <c r="S13" s="200">
        <v>45751</v>
      </c>
      <c r="T13" s="198" t="s">
        <v>1218</v>
      </c>
      <c r="U13" s="198"/>
      <c r="V13" s="200">
        <v>45873</v>
      </c>
      <c r="W13" s="198" t="s">
        <v>1406</v>
      </c>
      <c r="X13" s="198" t="s">
        <v>1407</v>
      </c>
      <c r="Y13" s="198" t="s">
        <v>1408</v>
      </c>
      <c r="Z13" s="198" t="s">
        <v>1409</v>
      </c>
      <c r="AA13" s="198" t="s">
        <v>1225</v>
      </c>
      <c r="AB13" s="200">
        <v>45773</v>
      </c>
      <c r="AC13" s="198" t="s">
        <v>1410</v>
      </c>
      <c r="AD13" s="198" t="s">
        <v>58</v>
      </c>
      <c r="AE13" s="198" t="s">
        <v>1411</v>
      </c>
      <c r="AF13" s="198" t="s">
        <v>574</v>
      </c>
      <c r="AG13" s="198"/>
      <c r="AH13" s="198" t="s">
        <v>60</v>
      </c>
      <c r="AI13" s="198"/>
      <c r="AJ13" s="198"/>
      <c r="AK13" s="32" t="s">
        <v>61</v>
      </c>
      <c r="AL13" s="201"/>
      <c r="AM13" s="201"/>
    </row>
    <row r="14" spans="1:41" s="102" customFormat="1" ht="252" customHeight="1" x14ac:dyDescent="0.2">
      <c r="B14" s="101"/>
      <c r="C14" s="362" t="s">
        <v>1399</v>
      </c>
      <c r="D14" s="202" t="s">
        <v>1412</v>
      </c>
      <c r="E14" s="203" t="s">
        <v>325</v>
      </c>
      <c r="F14" s="203" t="s">
        <v>1413</v>
      </c>
      <c r="G14" s="203" t="s">
        <v>1227</v>
      </c>
      <c r="H14" s="203" t="s">
        <v>285</v>
      </c>
      <c r="I14" s="203" t="s">
        <v>46</v>
      </c>
      <c r="J14" s="203" t="s">
        <v>99</v>
      </c>
      <c r="K14" s="204">
        <v>45748</v>
      </c>
      <c r="L14" s="203" t="s">
        <v>1414</v>
      </c>
      <c r="M14" s="203" t="s">
        <v>1415</v>
      </c>
      <c r="N14" s="203"/>
      <c r="O14" s="203" t="s">
        <v>1416</v>
      </c>
      <c r="P14" s="203" t="s">
        <v>1236</v>
      </c>
      <c r="Q14" s="90" t="s">
        <v>197</v>
      </c>
      <c r="R14" s="90" t="s">
        <v>1405</v>
      </c>
      <c r="S14" s="103">
        <v>45751</v>
      </c>
      <c r="T14" s="90" t="s">
        <v>1218</v>
      </c>
      <c r="U14" s="90"/>
      <c r="V14" s="103">
        <v>45873</v>
      </c>
      <c r="W14" s="90" t="s">
        <v>1406</v>
      </c>
      <c r="X14" s="205" t="s">
        <v>1417</v>
      </c>
      <c r="Y14" s="198" t="s">
        <v>1418</v>
      </c>
      <c r="Z14" s="198" t="s">
        <v>1419</v>
      </c>
      <c r="AA14" s="198" t="s">
        <v>1225</v>
      </c>
      <c r="AB14" s="200">
        <v>45773</v>
      </c>
      <c r="AC14" s="198" t="s">
        <v>1420</v>
      </c>
      <c r="AD14" s="198" t="s">
        <v>109</v>
      </c>
      <c r="AE14" s="195" t="s">
        <v>1421</v>
      </c>
      <c r="AF14" s="198" t="s">
        <v>574</v>
      </c>
      <c r="AG14" s="198"/>
      <c r="AH14" s="198" t="s">
        <v>60</v>
      </c>
      <c r="AI14" s="198"/>
      <c r="AJ14" s="198"/>
      <c r="AK14" s="32" t="s">
        <v>61</v>
      </c>
      <c r="AL14" s="95"/>
      <c r="AM14" s="95"/>
    </row>
    <row r="15" spans="1:41" s="102" customFormat="1" ht="110.25" customHeight="1" x14ac:dyDescent="0.2">
      <c r="B15" s="101"/>
      <c r="C15" s="362" t="s">
        <v>1399</v>
      </c>
      <c r="D15" s="202" t="s">
        <v>1422</v>
      </c>
      <c r="E15" s="203" t="s">
        <v>325</v>
      </c>
      <c r="F15" s="203" t="s">
        <v>1413</v>
      </c>
      <c r="G15" s="206" t="s">
        <v>1227</v>
      </c>
      <c r="H15" s="206" t="s">
        <v>285</v>
      </c>
      <c r="I15" s="206" t="s">
        <v>46</v>
      </c>
      <c r="J15" s="206" t="s">
        <v>99</v>
      </c>
      <c r="K15" s="207">
        <v>45748</v>
      </c>
      <c r="L15" s="206" t="s">
        <v>1414</v>
      </c>
      <c r="M15" s="208" t="s">
        <v>1423</v>
      </c>
      <c r="N15" s="203" t="s">
        <v>263</v>
      </c>
      <c r="O15" s="203" t="s">
        <v>1416</v>
      </c>
      <c r="P15" s="203" t="s">
        <v>1236</v>
      </c>
      <c r="Q15" s="90" t="s">
        <v>197</v>
      </c>
      <c r="R15" s="90" t="s">
        <v>1405</v>
      </c>
      <c r="S15" s="103">
        <v>45751</v>
      </c>
      <c r="T15" s="90" t="s">
        <v>1218</v>
      </c>
      <c r="U15" s="90"/>
      <c r="V15" s="103">
        <v>45873</v>
      </c>
      <c r="W15" s="90" t="s">
        <v>1406</v>
      </c>
      <c r="X15" s="205" t="s">
        <v>1417</v>
      </c>
      <c r="Y15" s="198" t="s">
        <v>1424</v>
      </c>
      <c r="Z15" s="198" t="s">
        <v>1425</v>
      </c>
      <c r="AA15" s="203" t="s">
        <v>1225</v>
      </c>
      <c r="AB15" s="103">
        <v>45773</v>
      </c>
      <c r="AC15" s="208" t="s">
        <v>1426</v>
      </c>
      <c r="AD15" s="208" t="s">
        <v>109</v>
      </c>
      <c r="AE15" s="198" t="s">
        <v>1427</v>
      </c>
      <c r="AF15" s="198" t="s">
        <v>574</v>
      </c>
      <c r="AG15" s="198"/>
      <c r="AH15" s="198" t="s">
        <v>60</v>
      </c>
      <c r="AI15" s="198"/>
      <c r="AJ15" s="198"/>
      <c r="AK15" s="32" t="s">
        <v>61</v>
      </c>
      <c r="AL15" s="95"/>
      <c r="AM15" s="95"/>
    </row>
    <row r="16" spans="1:41" s="212" customFormat="1" ht="409.5" customHeight="1" x14ac:dyDescent="0.2">
      <c r="A16" s="104" t="s">
        <v>1279</v>
      </c>
      <c r="B16" s="101"/>
      <c r="C16" s="373" t="s">
        <v>1428</v>
      </c>
      <c r="D16" s="209" t="s">
        <v>1429</v>
      </c>
      <c r="E16" s="198" t="s">
        <v>325</v>
      </c>
      <c r="F16" s="198" t="s">
        <v>1430</v>
      </c>
      <c r="G16" s="198" t="s">
        <v>1227</v>
      </c>
      <c r="H16" s="198" t="s">
        <v>285</v>
      </c>
      <c r="I16" s="198" t="s">
        <v>46</v>
      </c>
      <c r="J16" s="198" t="s">
        <v>99</v>
      </c>
      <c r="K16" s="210">
        <v>45748</v>
      </c>
      <c r="L16" s="198" t="s">
        <v>1431</v>
      </c>
      <c r="M16" s="198" t="s">
        <v>1432</v>
      </c>
      <c r="N16" s="198" t="s">
        <v>263</v>
      </c>
      <c r="O16" s="100" t="s">
        <v>1433</v>
      </c>
      <c r="P16" s="197" t="s">
        <v>1236</v>
      </c>
      <c r="Q16" s="198" t="s">
        <v>197</v>
      </c>
      <c r="R16" s="198"/>
      <c r="S16" s="200">
        <v>45751</v>
      </c>
      <c r="T16" s="198" t="s">
        <v>1218</v>
      </c>
      <c r="U16" s="198"/>
      <c r="V16" s="200">
        <v>45873</v>
      </c>
      <c r="W16" s="198" t="s">
        <v>1434</v>
      </c>
      <c r="X16" s="198" t="s">
        <v>1435</v>
      </c>
      <c r="Y16" s="205" t="s">
        <v>1436</v>
      </c>
      <c r="Z16" s="198" t="s">
        <v>1437</v>
      </c>
      <c r="AA16" s="198"/>
      <c r="AB16" s="198"/>
      <c r="AC16" s="198" t="s">
        <v>1438</v>
      </c>
      <c r="AD16" s="198" t="s">
        <v>58</v>
      </c>
      <c r="AE16" s="448" t="s">
        <v>1439</v>
      </c>
      <c r="AF16" s="198" t="s">
        <v>574</v>
      </c>
      <c r="AG16" s="198"/>
      <c r="AH16" s="198" t="s">
        <v>60</v>
      </c>
      <c r="AI16" s="198"/>
      <c r="AJ16" s="198"/>
      <c r="AK16" s="32" t="s">
        <v>61</v>
      </c>
      <c r="AL16" s="211"/>
      <c r="AM16" s="211"/>
    </row>
    <row r="17" spans="2:41" s="102" customFormat="1" ht="31.5" customHeight="1" x14ac:dyDescent="0.2">
      <c r="B17" s="101"/>
      <c r="C17" s="234" t="s">
        <v>77</v>
      </c>
      <c r="D17" s="106" t="s">
        <v>78</v>
      </c>
      <c r="E17" s="4" t="s">
        <v>79</v>
      </c>
      <c r="F17" s="4" t="s">
        <v>80</v>
      </c>
      <c r="G17" s="4" t="s">
        <v>82</v>
      </c>
      <c r="H17" s="4" t="s">
        <v>83</v>
      </c>
      <c r="I17" s="4" t="s">
        <v>46</v>
      </c>
      <c r="J17" s="4" t="s">
        <v>99</v>
      </c>
      <c r="K17" s="34">
        <v>45748</v>
      </c>
      <c r="L17" s="4" t="s">
        <v>84</v>
      </c>
      <c r="M17" s="4"/>
      <c r="N17" s="4"/>
      <c r="O17" s="107" t="s">
        <v>135</v>
      </c>
      <c r="P17" s="4"/>
      <c r="Q17" s="4"/>
      <c r="R17" s="3" t="s">
        <v>1261</v>
      </c>
      <c r="S17" s="4"/>
      <c r="T17" s="4" t="s">
        <v>89</v>
      </c>
      <c r="U17" s="4"/>
      <c r="V17" s="4"/>
      <c r="W17" s="4"/>
      <c r="X17" s="4"/>
      <c r="Y17" s="4"/>
      <c r="Z17" s="4"/>
      <c r="AA17" s="4" t="s">
        <v>1225</v>
      </c>
      <c r="AB17" s="4"/>
      <c r="AC17" s="4"/>
      <c r="AD17" s="4"/>
      <c r="AE17" s="4"/>
      <c r="AF17" s="4"/>
      <c r="AG17" s="4"/>
      <c r="AH17" s="4"/>
      <c r="AI17" s="4"/>
      <c r="AJ17" s="4"/>
      <c r="AK17" s="32" t="s">
        <v>61</v>
      </c>
      <c r="AL17" s="95"/>
      <c r="AM17" s="95"/>
    </row>
    <row r="18" spans="2:41" s="109" customFormat="1" ht="105" x14ac:dyDescent="0.2">
      <c r="B18" s="50"/>
      <c r="C18" s="371" t="s">
        <v>1440</v>
      </c>
      <c r="D18" s="106" t="s">
        <v>1441</v>
      </c>
      <c r="E18" s="82" t="s">
        <v>325</v>
      </c>
      <c r="F18" s="82" t="s">
        <v>1442</v>
      </c>
      <c r="G18" s="82" t="s">
        <v>44</v>
      </c>
      <c r="H18" s="4" t="s">
        <v>243</v>
      </c>
      <c r="I18" s="82" t="s">
        <v>46</v>
      </c>
      <c r="J18" s="4" t="s">
        <v>99</v>
      </c>
      <c r="K18" s="34">
        <v>45748</v>
      </c>
      <c r="L18" s="82" t="s">
        <v>1443</v>
      </c>
      <c r="M18" s="3" t="s">
        <v>1444</v>
      </c>
      <c r="N18" s="3" t="s">
        <v>1445</v>
      </c>
      <c r="O18" s="82" t="s">
        <v>135</v>
      </c>
      <c r="P18" s="4"/>
      <c r="Q18" s="4"/>
      <c r="R18" s="84" t="s">
        <v>1223</v>
      </c>
      <c r="S18" s="4"/>
      <c r="T18" s="4" t="s">
        <v>1218</v>
      </c>
      <c r="U18" s="96" t="s">
        <v>1217</v>
      </c>
      <c r="V18" s="2" t="s">
        <v>1223</v>
      </c>
      <c r="W18" s="4" t="s">
        <v>1262</v>
      </c>
      <c r="X18" s="4" t="s">
        <v>1446</v>
      </c>
      <c r="Y18" s="108" t="s">
        <v>1447</v>
      </c>
      <c r="Z18" s="84" t="s">
        <v>1448</v>
      </c>
      <c r="AA18" s="4" t="s">
        <v>1225</v>
      </c>
      <c r="AB18" s="33">
        <v>45800</v>
      </c>
      <c r="AC18" s="82" t="s">
        <v>1449</v>
      </c>
      <c r="AD18" s="82" t="s">
        <v>1450</v>
      </c>
      <c r="AE18" s="84" t="s">
        <v>1451</v>
      </c>
      <c r="AF18" s="109" t="s">
        <v>1452</v>
      </c>
      <c r="AG18" s="193" t="s">
        <v>202</v>
      </c>
      <c r="AH18" s="4" t="s">
        <v>251</v>
      </c>
      <c r="AI18" s="4"/>
      <c r="AJ18" s="33"/>
      <c r="AK18" s="32" t="s">
        <v>61</v>
      </c>
      <c r="AL18" s="88"/>
      <c r="AM18" s="88"/>
    </row>
    <row r="19" spans="2:41" s="102" customFormat="1" ht="165" x14ac:dyDescent="0.2">
      <c r="B19" s="213" t="s">
        <v>1453</v>
      </c>
      <c r="C19" s="365" t="s">
        <v>1454</v>
      </c>
      <c r="D19" s="106" t="s">
        <v>1455</v>
      </c>
      <c r="E19" s="4" t="s">
        <v>79</v>
      </c>
      <c r="F19" s="4" t="s">
        <v>1456</v>
      </c>
      <c r="G19" s="4">
        <v>0</v>
      </c>
      <c r="H19" s="4">
        <v>0</v>
      </c>
      <c r="I19" s="4" t="s">
        <v>46</v>
      </c>
      <c r="J19" s="4" t="s">
        <v>1457</v>
      </c>
      <c r="K19" s="34">
        <v>45748</v>
      </c>
      <c r="L19" s="4" t="s">
        <v>1458</v>
      </c>
      <c r="M19" s="3" t="s">
        <v>1459</v>
      </c>
      <c r="N19" s="4" t="s">
        <v>135</v>
      </c>
      <c r="O19" s="214" t="s">
        <v>1460</v>
      </c>
      <c r="P19" s="3" t="s">
        <v>73</v>
      </c>
      <c r="Q19" s="3"/>
      <c r="R19" s="6" t="s">
        <v>1233</v>
      </c>
      <c r="S19" s="4"/>
      <c r="T19" s="100" t="s">
        <v>89</v>
      </c>
      <c r="U19" s="4" t="s">
        <v>1461</v>
      </c>
      <c r="V19" s="4" t="s">
        <v>1233</v>
      </c>
      <c r="W19" s="4"/>
      <c r="X19" s="3" t="s">
        <v>90</v>
      </c>
      <c r="Y19" s="3" t="s">
        <v>1462</v>
      </c>
      <c r="Z19" s="3" t="s">
        <v>1463</v>
      </c>
      <c r="AA19" s="4" t="s">
        <v>1225</v>
      </c>
      <c r="AB19" s="33">
        <v>45838</v>
      </c>
      <c r="AC19" s="3" t="s">
        <v>1464</v>
      </c>
      <c r="AD19" s="3" t="s">
        <v>109</v>
      </c>
      <c r="AE19" s="3" t="s">
        <v>1465</v>
      </c>
      <c r="AF19" s="4" t="s">
        <v>135</v>
      </c>
      <c r="AG19" s="4"/>
      <c r="AH19" s="4"/>
      <c r="AI19" s="4"/>
      <c r="AJ19" s="4"/>
      <c r="AK19" s="32" t="s">
        <v>61</v>
      </c>
      <c r="AL19" s="88" t="s">
        <v>1288</v>
      </c>
      <c r="AM19" s="88" t="s">
        <v>1466</v>
      </c>
    </row>
    <row r="20" spans="2:41" s="212" customFormat="1" ht="126" customHeight="1" x14ac:dyDescent="0.2">
      <c r="B20" s="101"/>
      <c r="C20" s="361" t="s">
        <v>1467</v>
      </c>
      <c r="D20" s="209" t="s">
        <v>1468</v>
      </c>
      <c r="E20" s="198" t="s">
        <v>1469</v>
      </c>
      <c r="F20" s="198" t="s">
        <v>1470</v>
      </c>
      <c r="G20" s="198" t="s">
        <v>1227</v>
      </c>
      <c r="H20" s="198" t="s">
        <v>1231</v>
      </c>
      <c r="I20" s="198" t="s">
        <v>46</v>
      </c>
      <c r="J20" s="198" t="s">
        <v>99</v>
      </c>
      <c r="K20" s="210">
        <v>45748</v>
      </c>
      <c r="L20" s="198" t="s">
        <v>1471</v>
      </c>
      <c r="M20" s="198" t="s">
        <v>1472</v>
      </c>
      <c r="N20" s="198" t="s">
        <v>263</v>
      </c>
      <c r="O20" s="198" t="s">
        <v>1473</v>
      </c>
      <c r="P20" s="197" t="s">
        <v>1236</v>
      </c>
      <c r="Q20" s="198" t="s">
        <v>197</v>
      </c>
      <c r="R20" s="198" t="s">
        <v>1405</v>
      </c>
      <c r="S20" s="200">
        <v>45751</v>
      </c>
      <c r="T20" s="198" t="s">
        <v>1218</v>
      </c>
      <c r="U20" s="198"/>
      <c r="V20" s="200">
        <v>45873</v>
      </c>
      <c r="W20" s="198" t="s">
        <v>1406</v>
      </c>
      <c r="X20" s="198" t="s">
        <v>1435</v>
      </c>
      <c r="Y20" s="198" t="s">
        <v>1474</v>
      </c>
      <c r="Z20" s="198" t="s">
        <v>1475</v>
      </c>
      <c r="AA20" s="198" t="s">
        <v>1218</v>
      </c>
      <c r="AB20" s="200">
        <v>45773</v>
      </c>
      <c r="AC20" s="198" t="s">
        <v>1476</v>
      </c>
      <c r="AD20" s="198" t="s">
        <v>58</v>
      </c>
      <c r="AE20" s="198" t="s">
        <v>1477</v>
      </c>
      <c r="AF20" s="198" t="s">
        <v>574</v>
      </c>
      <c r="AG20" s="198"/>
      <c r="AH20" s="198" t="s">
        <v>60</v>
      </c>
      <c r="AI20" s="198"/>
      <c r="AJ20" s="198"/>
      <c r="AK20" s="32" t="s">
        <v>61</v>
      </c>
      <c r="AL20" s="211"/>
      <c r="AM20" s="211"/>
    </row>
    <row r="21" spans="2:41" s="102" customFormat="1" ht="220.5" customHeight="1" x14ac:dyDescent="0.2">
      <c r="B21" s="101"/>
      <c r="C21" s="234" t="s">
        <v>93</v>
      </c>
      <c r="D21" s="106" t="s">
        <v>94</v>
      </c>
      <c r="E21" s="215" t="s">
        <v>79</v>
      </c>
      <c r="F21" s="3" t="s">
        <v>1478</v>
      </c>
      <c r="G21" s="4" t="s">
        <v>97</v>
      </c>
      <c r="H21" s="4" t="s">
        <v>98</v>
      </c>
      <c r="I21" s="4" t="s">
        <v>46</v>
      </c>
      <c r="J21" s="4" t="s">
        <v>99</v>
      </c>
      <c r="K21" s="34">
        <v>45748</v>
      </c>
      <c r="L21" s="4" t="s">
        <v>1479</v>
      </c>
      <c r="M21" s="3" t="s">
        <v>101</v>
      </c>
      <c r="N21" s="3" t="s">
        <v>1480</v>
      </c>
      <c r="O21" s="3" t="s">
        <v>103</v>
      </c>
      <c r="P21" s="3" t="s">
        <v>104</v>
      </c>
      <c r="Q21" s="4"/>
      <c r="R21" s="3" t="s">
        <v>1261</v>
      </c>
      <c r="S21" s="33"/>
      <c r="T21" s="4" t="s">
        <v>89</v>
      </c>
      <c r="U21" s="4"/>
      <c r="V21" s="4"/>
      <c r="W21" s="4"/>
      <c r="X21" s="3" t="s">
        <v>90</v>
      </c>
      <c r="Y21" s="3" t="s">
        <v>1481</v>
      </c>
      <c r="Z21" s="3" t="s">
        <v>1482</v>
      </c>
      <c r="AA21" s="4" t="s">
        <v>1225</v>
      </c>
      <c r="AB21" s="33">
        <v>45838</v>
      </c>
      <c r="AC21" s="4" t="s">
        <v>1338</v>
      </c>
      <c r="AD21" s="4" t="s">
        <v>58</v>
      </c>
      <c r="AE21" s="4" t="s">
        <v>1483</v>
      </c>
      <c r="AF21" s="4" t="s">
        <v>135</v>
      </c>
      <c r="AG21" s="4"/>
      <c r="AH21" s="4"/>
      <c r="AI21" s="4"/>
      <c r="AJ21" s="4"/>
      <c r="AK21" s="32" t="s">
        <v>61</v>
      </c>
      <c r="AL21" s="95"/>
      <c r="AM21" s="95"/>
    </row>
    <row r="22" spans="2:41" s="102" customFormat="1" ht="220.5" customHeight="1" x14ac:dyDescent="0.2">
      <c r="B22" s="101"/>
      <c r="C22" s="234" t="s">
        <v>93</v>
      </c>
      <c r="D22" s="106" t="s">
        <v>1484</v>
      </c>
      <c r="E22" s="216" t="s">
        <v>79</v>
      </c>
      <c r="F22" s="217" t="s">
        <v>1478</v>
      </c>
      <c r="G22" s="217" t="s">
        <v>97</v>
      </c>
      <c r="H22" s="217" t="s">
        <v>98</v>
      </c>
      <c r="I22" s="218" t="s">
        <v>46</v>
      </c>
      <c r="J22" s="218" t="s">
        <v>99</v>
      </c>
      <c r="K22" s="219">
        <v>45748</v>
      </c>
      <c r="L22" s="218" t="s">
        <v>1479</v>
      </c>
      <c r="M22" s="218" t="s">
        <v>101</v>
      </c>
      <c r="N22" s="218" t="s">
        <v>1480</v>
      </c>
      <c r="O22" s="218" t="s">
        <v>103</v>
      </c>
      <c r="P22" s="218" t="s">
        <v>104</v>
      </c>
      <c r="Q22" s="218"/>
      <c r="R22" s="218" t="s">
        <v>1261</v>
      </c>
      <c r="S22" s="220"/>
      <c r="T22" s="218" t="s">
        <v>89</v>
      </c>
      <c r="U22" s="221"/>
      <c r="V22" s="218"/>
      <c r="W22" s="218"/>
      <c r="X22" s="218" t="s">
        <v>90</v>
      </c>
      <c r="Y22" s="218" t="s">
        <v>1481</v>
      </c>
      <c r="Z22" s="218" t="s">
        <v>1482</v>
      </c>
      <c r="AA22" s="218" t="s">
        <v>1225</v>
      </c>
      <c r="AB22" s="220">
        <v>45838</v>
      </c>
      <c r="AC22" s="83" t="s">
        <v>1485</v>
      </c>
      <c r="AD22" s="83" t="s">
        <v>109</v>
      </c>
      <c r="AE22" s="83" t="s">
        <v>1486</v>
      </c>
      <c r="AF22" s="83"/>
      <c r="AG22" s="222"/>
      <c r="AH22" s="110"/>
      <c r="AI22" s="110"/>
      <c r="AJ22" s="4"/>
      <c r="AK22" s="32"/>
      <c r="AL22" s="95"/>
      <c r="AM22" s="95"/>
    </row>
    <row r="23" spans="2:41" s="102" customFormat="1" ht="220.5" customHeight="1" x14ac:dyDescent="0.2">
      <c r="B23" s="101"/>
      <c r="C23" s="371" t="s">
        <v>93</v>
      </c>
      <c r="D23" s="106" t="s">
        <v>1487</v>
      </c>
      <c r="E23" s="223" t="s">
        <v>79</v>
      </c>
      <c r="F23" s="218" t="s">
        <v>1478</v>
      </c>
      <c r="G23" s="218" t="s">
        <v>97</v>
      </c>
      <c r="H23" s="218" t="s">
        <v>98</v>
      </c>
      <c r="I23" s="218" t="s">
        <v>46</v>
      </c>
      <c r="J23" s="218" t="s">
        <v>99</v>
      </c>
      <c r="K23" s="219">
        <v>45748</v>
      </c>
      <c r="L23" s="218" t="s">
        <v>1479</v>
      </c>
      <c r="M23" s="218" t="s">
        <v>101</v>
      </c>
      <c r="N23" s="218" t="s">
        <v>1480</v>
      </c>
      <c r="O23" s="218" t="s">
        <v>103</v>
      </c>
      <c r="P23" s="218" t="s">
        <v>104</v>
      </c>
      <c r="Q23" s="218"/>
      <c r="R23" s="218" t="s">
        <v>1261</v>
      </c>
      <c r="S23" s="220"/>
      <c r="T23" s="218" t="s">
        <v>89</v>
      </c>
      <c r="U23" s="221"/>
      <c r="V23" s="218"/>
      <c r="W23" s="218"/>
      <c r="X23" s="218" t="s">
        <v>90</v>
      </c>
      <c r="Y23" s="218" t="s">
        <v>1481</v>
      </c>
      <c r="Z23" s="218" t="s">
        <v>1482</v>
      </c>
      <c r="AA23" s="218" t="s">
        <v>1225</v>
      </c>
      <c r="AB23" s="220">
        <v>45838</v>
      </c>
      <c r="AC23" s="83" t="s">
        <v>1488</v>
      </c>
      <c r="AD23" s="83" t="s">
        <v>113</v>
      </c>
      <c r="AE23" s="83" t="s">
        <v>1489</v>
      </c>
      <c r="AF23" s="83"/>
      <c r="AG23" s="222"/>
      <c r="AH23" s="110"/>
      <c r="AI23" s="110"/>
      <c r="AJ23" s="4"/>
      <c r="AK23" s="32"/>
      <c r="AL23" s="95"/>
      <c r="AM23" s="95"/>
    </row>
    <row r="24" spans="2:41" s="109" customFormat="1" ht="270.75" customHeight="1" x14ac:dyDescent="0.2">
      <c r="B24" s="50"/>
      <c r="C24" s="234" t="s">
        <v>1490</v>
      </c>
      <c r="D24" s="106" t="s">
        <v>1491</v>
      </c>
      <c r="E24" s="111" t="s">
        <v>255</v>
      </c>
      <c r="F24" s="84" t="s">
        <v>1492</v>
      </c>
      <c r="G24" s="84" t="s">
        <v>82</v>
      </c>
      <c r="H24" s="4" t="s">
        <v>98</v>
      </c>
      <c r="I24" s="82" t="s">
        <v>46</v>
      </c>
      <c r="J24" s="4" t="s">
        <v>99</v>
      </c>
      <c r="K24" s="34">
        <v>45748</v>
      </c>
      <c r="L24" s="82" t="s">
        <v>1493</v>
      </c>
      <c r="M24" s="3" t="s">
        <v>1494</v>
      </c>
      <c r="N24" s="3" t="s">
        <v>1495</v>
      </c>
      <c r="O24" s="99" t="s">
        <v>1496</v>
      </c>
      <c r="P24" s="3" t="s">
        <v>123</v>
      </c>
      <c r="Q24" s="3" t="s">
        <v>197</v>
      </c>
      <c r="R24" s="84" t="s">
        <v>1223</v>
      </c>
      <c r="S24" s="8"/>
      <c r="T24" s="3" t="s">
        <v>55</v>
      </c>
      <c r="U24" s="96"/>
      <c r="V24" s="2"/>
      <c r="W24" s="35" t="s">
        <v>1497</v>
      </c>
      <c r="X24" s="3" t="s">
        <v>1498</v>
      </c>
      <c r="Y24" s="84" t="s">
        <v>1499</v>
      </c>
      <c r="Z24" s="84" t="s">
        <v>1500</v>
      </c>
      <c r="AA24" s="3" t="s">
        <v>1225</v>
      </c>
      <c r="AB24" s="8">
        <v>45800</v>
      </c>
      <c r="AC24" s="84" t="s">
        <v>1338</v>
      </c>
      <c r="AD24" s="84" t="s">
        <v>58</v>
      </c>
      <c r="AE24" s="84" t="s">
        <v>1501</v>
      </c>
      <c r="AF24" s="83" t="s">
        <v>574</v>
      </c>
      <c r="AG24" s="87" t="s">
        <v>202</v>
      </c>
      <c r="AH24" s="87" t="s">
        <v>202</v>
      </c>
      <c r="AI24" s="3"/>
      <c r="AJ24" s="8"/>
      <c r="AK24" s="32" t="s">
        <v>61</v>
      </c>
      <c r="AL24" s="88"/>
      <c r="AM24" s="88"/>
      <c r="AO24" s="109" t="s">
        <v>1502</v>
      </c>
    </row>
    <row r="25" spans="2:41" s="109" customFormat="1" ht="324" x14ac:dyDescent="0.2">
      <c r="B25" s="50"/>
      <c r="C25" s="370" t="s">
        <v>1490</v>
      </c>
      <c r="D25" s="113" t="s">
        <v>1503</v>
      </c>
      <c r="E25" s="88" t="s">
        <v>1504</v>
      </c>
      <c r="F25" s="85" t="s">
        <v>1492</v>
      </c>
      <c r="G25" s="85" t="s">
        <v>82</v>
      </c>
      <c r="H25" s="1" t="s">
        <v>98</v>
      </c>
      <c r="I25" s="85" t="s">
        <v>46</v>
      </c>
      <c r="J25" s="1" t="s">
        <v>99</v>
      </c>
      <c r="K25" s="114">
        <v>45748</v>
      </c>
      <c r="L25" s="85" t="s">
        <v>1493</v>
      </c>
      <c r="M25" s="1" t="s">
        <v>1505</v>
      </c>
      <c r="N25" s="1" t="s">
        <v>1495</v>
      </c>
      <c r="O25" s="224" t="s">
        <v>1506</v>
      </c>
      <c r="P25" s="1" t="s">
        <v>123</v>
      </c>
      <c r="Q25" s="1" t="s">
        <v>197</v>
      </c>
      <c r="R25" s="85" t="s">
        <v>1223</v>
      </c>
      <c r="S25" s="98"/>
      <c r="T25" s="1" t="s">
        <v>1218</v>
      </c>
      <c r="U25" s="1"/>
      <c r="V25" s="1" t="s">
        <v>1223</v>
      </c>
      <c r="W25" s="225" t="s">
        <v>135</v>
      </c>
      <c r="X25" s="1" t="s">
        <v>1498</v>
      </c>
      <c r="Y25" s="85" t="s">
        <v>1499</v>
      </c>
      <c r="Z25" s="85" t="s">
        <v>1500</v>
      </c>
      <c r="AA25" s="1" t="s">
        <v>1225</v>
      </c>
      <c r="AB25" s="98">
        <v>45803</v>
      </c>
      <c r="AC25" s="84" t="s">
        <v>1507</v>
      </c>
      <c r="AD25" s="84" t="s">
        <v>109</v>
      </c>
      <c r="AE25" s="84" t="s">
        <v>1508</v>
      </c>
      <c r="AF25" s="83" t="s">
        <v>1509</v>
      </c>
      <c r="AG25" s="87" t="s">
        <v>202</v>
      </c>
      <c r="AH25" s="87" t="s">
        <v>202</v>
      </c>
      <c r="AI25" s="3"/>
      <c r="AJ25" s="8"/>
      <c r="AK25" s="32" t="s">
        <v>61</v>
      </c>
      <c r="AL25" s="88"/>
      <c r="AM25" s="88"/>
    </row>
    <row r="26" spans="2:41" s="109" customFormat="1" ht="324" x14ac:dyDescent="0.2">
      <c r="B26" s="50"/>
      <c r="C26" s="359" t="s">
        <v>1490</v>
      </c>
      <c r="D26" s="116" t="s">
        <v>1510</v>
      </c>
      <c r="E26" s="226" t="s">
        <v>1504</v>
      </c>
      <c r="F26" s="89" t="s">
        <v>1511</v>
      </c>
      <c r="G26" s="89" t="s">
        <v>82</v>
      </c>
      <c r="H26" s="90" t="s">
        <v>98</v>
      </c>
      <c r="I26" s="89" t="s">
        <v>46</v>
      </c>
      <c r="J26" s="221" t="s">
        <v>99</v>
      </c>
      <c r="K26" s="191">
        <v>45748</v>
      </c>
      <c r="L26" s="89" t="s">
        <v>1512</v>
      </c>
      <c r="M26" s="90" t="s">
        <v>1505</v>
      </c>
      <c r="N26" s="90" t="s">
        <v>1495</v>
      </c>
      <c r="O26" s="117" t="s">
        <v>1506</v>
      </c>
      <c r="P26" s="90" t="s">
        <v>123</v>
      </c>
      <c r="Q26" s="90" t="s">
        <v>197</v>
      </c>
      <c r="R26" s="89" t="s">
        <v>1223</v>
      </c>
      <c r="S26" s="103"/>
      <c r="T26" s="90" t="s">
        <v>1218</v>
      </c>
      <c r="U26" s="90"/>
      <c r="V26" s="2" t="s">
        <v>1223</v>
      </c>
      <c r="W26" s="91" t="s">
        <v>135</v>
      </c>
      <c r="X26" s="90" t="s">
        <v>1498</v>
      </c>
      <c r="Y26" s="89" t="s">
        <v>1499</v>
      </c>
      <c r="Z26" s="89" t="s">
        <v>1500</v>
      </c>
      <c r="AA26" s="90" t="s">
        <v>1225</v>
      </c>
      <c r="AB26" s="103">
        <v>45803</v>
      </c>
      <c r="AC26" s="84" t="s">
        <v>1513</v>
      </c>
      <c r="AD26" s="84" t="s">
        <v>109</v>
      </c>
      <c r="AE26" s="84" t="s">
        <v>1514</v>
      </c>
      <c r="AF26" s="83" t="s">
        <v>1515</v>
      </c>
      <c r="AG26" s="87" t="s">
        <v>202</v>
      </c>
      <c r="AH26" s="87" t="s">
        <v>202</v>
      </c>
      <c r="AI26" s="3"/>
      <c r="AJ26" s="8"/>
      <c r="AK26" s="32" t="s">
        <v>61</v>
      </c>
      <c r="AL26" s="88"/>
      <c r="AM26" s="88"/>
    </row>
    <row r="27" spans="2:41" s="109" customFormat="1" ht="195" x14ac:dyDescent="0.2">
      <c r="B27" s="50"/>
      <c r="C27" s="371" t="s">
        <v>1516</v>
      </c>
      <c r="D27" s="106" t="s">
        <v>1517</v>
      </c>
      <c r="E27" s="111" t="s">
        <v>1504</v>
      </c>
      <c r="F27" s="84" t="s">
        <v>1518</v>
      </c>
      <c r="G27" s="84" t="s">
        <v>82</v>
      </c>
      <c r="H27" s="4" t="s">
        <v>98</v>
      </c>
      <c r="I27" s="82" t="s">
        <v>46</v>
      </c>
      <c r="J27" s="4" t="s">
        <v>99</v>
      </c>
      <c r="K27" s="34">
        <v>45748</v>
      </c>
      <c r="L27" s="82" t="s">
        <v>1519</v>
      </c>
      <c r="M27" s="3" t="s">
        <v>1520</v>
      </c>
      <c r="N27" s="3" t="s">
        <v>1521</v>
      </c>
      <c r="O27" s="84" t="s">
        <v>1522</v>
      </c>
      <c r="P27" s="3" t="s">
        <v>123</v>
      </c>
      <c r="Q27" s="3" t="s">
        <v>197</v>
      </c>
      <c r="R27" s="84" t="s">
        <v>1223</v>
      </c>
      <c r="S27" s="8"/>
      <c r="T27" s="3" t="s">
        <v>1218</v>
      </c>
      <c r="U27" s="227" t="s">
        <v>1217</v>
      </c>
      <c r="V27" s="2" t="s">
        <v>1223</v>
      </c>
      <c r="W27" s="35" t="s">
        <v>135</v>
      </c>
      <c r="X27" s="3" t="s">
        <v>1498</v>
      </c>
      <c r="Y27" s="84" t="s">
        <v>1523</v>
      </c>
      <c r="Z27" s="84" t="s">
        <v>1524</v>
      </c>
      <c r="AA27" s="3" t="s">
        <v>1225</v>
      </c>
      <c r="AB27" s="8">
        <v>45800</v>
      </c>
      <c r="AC27" s="84" t="s">
        <v>1300</v>
      </c>
      <c r="AD27" s="84" t="s">
        <v>58</v>
      </c>
      <c r="AE27" s="84" t="s">
        <v>1523</v>
      </c>
      <c r="AF27" s="83" t="s">
        <v>1525</v>
      </c>
      <c r="AG27" s="87" t="s">
        <v>202</v>
      </c>
      <c r="AH27" s="87" t="s">
        <v>202</v>
      </c>
      <c r="AI27" s="3"/>
      <c r="AJ27" s="8"/>
      <c r="AK27" s="32" t="s">
        <v>61</v>
      </c>
      <c r="AL27" s="88"/>
      <c r="AM27" s="88"/>
    </row>
    <row r="28" spans="2:41" s="109" customFormat="1" ht="195" x14ac:dyDescent="0.2">
      <c r="B28" s="50"/>
      <c r="C28" s="375" t="s">
        <v>1516</v>
      </c>
      <c r="D28" s="119" t="s">
        <v>1526</v>
      </c>
      <c r="E28" s="120" t="s">
        <v>1504</v>
      </c>
      <c r="F28" s="121" t="s">
        <v>1527</v>
      </c>
      <c r="G28" s="121" t="s">
        <v>82</v>
      </c>
      <c r="H28" s="122" t="s">
        <v>98</v>
      </c>
      <c r="I28" s="121" t="s">
        <v>46</v>
      </c>
      <c r="J28" s="228" t="s">
        <v>99</v>
      </c>
      <c r="K28" s="229">
        <v>45748</v>
      </c>
      <c r="L28" s="121" t="s">
        <v>1519</v>
      </c>
      <c r="M28" s="122" t="s">
        <v>1528</v>
      </c>
      <c r="N28" s="122" t="s">
        <v>1521</v>
      </c>
      <c r="O28" s="121" t="s">
        <v>1529</v>
      </c>
      <c r="P28" s="122" t="s">
        <v>123</v>
      </c>
      <c r="Q28" s="122" t="s">
        <v>197</v>
      </c>
      <c r="R28" s="121" t="s">
        <v>1223</v>
      </c>
      <c r="S28" s="123"/>
      <c r="T28" s="122" t="s">
        <v>1218</v>
      </c>
      <c r="U28" s="122"/>
      <c r="V28" s="2" t="s">
        <v>1223</v>
      </c>
      <c r="W28" s="124" t="s">
        <v>135</v>
      </c>
      <c r="X28" s="3" t="s">
        <v>1498</v>
      </c>
      <c r="Y28" s="84" t="s">
        <v>1530</v>
      </c>
      <c r="Z28" s="84" t="s">
        <v>1524</v>
      </c>
      <c r="AA28" s="3" t="s">
        <v>1225</v>
      </c>
      <c r="AB28" s="8">
        <v>45800</v>
      </c>
      <c r="AC28" s="84" t="s">
        <v>1531</v>
      </c>
      <c r="AD28" s="84" t="s">
        <v>58</v>
      </c>
      <c r="AE28" s="84" t="s">
        <v>1530</v>
      </c>
      <c r="AF28" s="83" t="s">
        <v>1525</v>
      </c>
      <c r="AG28" s="87" t="s">
        <v>202</v>
      </c>
      <c r="AH28" s="87" t="s">
        <v>202</v>
      </c>
      <c r="AI28" s="3"/>
      <c r="AJ28" s="8"/>
      <c r="AK28" s="32" t="s">
        <v>61</v>
      </c>
      <c r="AL28" s="88"/>
      <c r="AM28" s="88"/>
    </row>
    <row r="29" spans="2:41" s="212" customFormat="1" ht="47.25" customHeight="1" x14ac:dyDescent="0.2">
      <c r="B29" s="101"/>
      <c r="C29" s="373" t="s">
        <v>1532</v>
      </c>
      <c r="D29" s="209" t="s">
        <v>1533</v>
      </c>
      <c r="E29" s="211" t="s">
        <v>1245</v>
      </c>
      <c r="F29" s="198" t="s">
        <v>1470</v>
      </c>
      <c r="G29" s="198" t="s">
        <v>1227</v>
      </c>
      <c r="H29" s="198" t="s">
        <v>1231</v>
      </c>
      <c r="I29" s="198" t="s">
        <v>46</v>
      </c>
      <c r="J29" s="198" t="s">
        <v>99</v>
      </c>
      <c r="K29" s="210">
        <v>45748</v>
      </c>
      <c r="L29" s="198" t="s">
        <v>1534</v>
      </c>
      <c r="M29" s="198" t="s">
        <v>1535</v>
      </c>
      <c r="N29" s="198" t="s">
        <v>263</v>
      </c>
      <c r="O29" s="198" t="s">
        <v>1473</v>
      </c>
      <c r="P29" s="197" t="s">
        <v>1236</v>
      </c>
      <c r="Q29" s="198" t="s">
        <v>197</v>
      </c>
      <c r="R29" s="198" t="s">
        <v>1405</v>
      </c>
      <c r="S29" s="200">
        <v>45751</v>
      </c>
      <c r="T29" s="198" t="s">
        <v>1218</v>
      </c>
      <c r="U29" s="198"/>
      <c r="V29" s="200">
        <v>45873</v>
      </c>
      <c r="W29" s="198" t="s">
        <v>1406</v>
      </c>
      <c r="X29" s="198" t="s">
        <v>1498</v>
      </c>
      <c r="Y29" s="198" t="s">
        <v>1536</v>
      </c>
      <c r="Z29" s="198" t="s">
        <v>1537</v>
      </c>
      <c r="AA29" s="198" t="s">
        <v>1218</v>
      </c>
      <c r="AB29" s="200">
        <v>45773</v>
      </c>
      <c r="AC29" s="198" t="s">
        <v>1476</v>
      </c>
      <c r="AD29" s="198" t="s">
        <v>58</v>
      </c>
      <c r="AE29" s="198" t="s">
        <v>1538</v>
      </c>
      <c r="AF29" s="198" t="s">
        <v>574</v>
      </c>
      <c r="AG29" s="198"/>
      <c r="AH29" s="198" t="s">
        <v>60</v>
      </c>
      <c r="AI29" s="198"/>
      <c r="AJ29" s="198"/>
      <c r="AK29" s="32" t="s">
        <v>61</v>
      </c>
      <c r="AL29" s="211"/>
      <c r="AM29" s="211"/>
    </row>
    <row r="30" spans="2:41" s="109" customFormat="1" ht="180" x14ac:dyDescent="0.2">
      <c r="B30" s="50"/>
      <c r="C30" s="105" t="s">
        <v>1539</v>
      </c>
      <c r="D30" s="106" t="s">
        <v>116</v>
      </c>
      <c r="E30" s="82" t="s">
        <v>117</v>
      </c>
      <c r="F30" s="84" t="s">
        <v>1540</v>
      </c>
      <c r="G30" s="84" t="s">
        <v>82</v>
      </c>
      <c r="H30" s="4" t="s">
        <v>98</v>
      </c>
      <c r="I30" s="82" t="s">
        <v>46</v>
      </c>
      <c r="J30" s="4" t="s">
        <v>99</v>
      </c>
      <c r="K30" s="34">
        <v>45748</v>
      </c>
      <c r="L30" s="82" t="s">
        <v>120</v>
      </c>
      <c r="M30" s="3" t="s">
        <v>1541</v>
      </c>
      <c r="N30" s="3" t="s">
        <v>122</v>
      </c>
      <c r="O30" s="84" t="s">
        <v>1542</v>
      </c>
      <c r="P30" s="3" t="s">
        <v>123</v>
      </c>
      <c r="Q30" s="3" t="s">
        <v>197</v>
      </c>
      <c r="R30" s="84" t="s">
        <v>1223</v>
      </c>
      <c r="S30" s="8"/>
      <c r="T30" t="s">
        <v>55</v>
      </c>
      <c r="U30" s="3"/>
      <c r="V30" s="3"/>
      <c r="W30" s="102" t="s">
        <v>1543</v>
      </c>
      <c r="X30" s="3" t="s">
        <v>126</v>
      </c>
      <c r="Y30" s="84" t="s">
        <v>1544</v>
      </c>
      <c r="Z30" s="84" t="s">
        <v>1545</v>
      </c>
      <c r="AA30" s="3" t="s">
        <v>1225</v>
      </c>
      <c r="AB30" s="8">
        <v>45800</v>
      </c>
      <c r="AC30" s="84" t="s">
        <v>1338</v>
      </c>
      <c r="AD30" s="84" t="s">
        <v>58</v>
      </c>
      <c r="AE30" s="84" t="s">
        <v>1544</v>
      </c>
      <c r="AF30" s="83" t="s">
        <v>574</v>
      </c>
      <c r="AG30" s="87" t="s">
        <v>202</v>
      </c>
      <c r="AH30" s="87" t="s">
        <v>202</v>
      </c>
      <c r="AI30" s="3"/>
      <c r="AJ30" s="8"/>
      <c r="AK30" s="32" t="s">
        <v>61</v>
      </c>
      <c r="AL30" s="88" t="s">
        <v>1546</v>
      </c>
      <c r="AM30" s="88" t="s">
        <v>1547</v>
      </c>
    </row>
    <row r="31" spans="2:41" s="109" customFormat="1" ht="180" x14ac:dyDescent="0.2">
      <c r="B31" s="50"/>
      <c r="C31" s="118" t="s">
        <v>1539</v>
      </c>
      <c r="D31" s="119" t="s">
        <v>125</v>
      </c>
      <c r="E31" s="121" t="s">
        <v>117</v>
      </c>
      <c r="F31" s="121" t="s">
        <v>118</v>
      </c>
      <c r="G31" s="121" t="s">
        <v>82</v>
      </c>
      <c r="H31" s="122" t="s">
        <v>98</v>
      </c>
      <c r="I31" s="121" t="s">
        <v>46</v>
      </c>
      <c r="J31" s="228" t="s">
        <v>99</v>
      </c>
      <c r="K31" s="229">
        <v>45748</v>
      </c>
      <c r="L31" s="121" t="s">
        <v>120</v>
      </c>
      <c r="M31" s="122" t="s">
        <v>1541</v>
      </c>
      <c r="N31" s="122" t="s">
        <v>122</v>
      </c>
      <c r="O31" s="121" t="s">
        <v>1548</v>
      </c>
      <c r="P31" s="122" t="s">
        <v>123</v>
      </c>
      <c r="Q31" s="122" t="s">
        <v>197</v>
      </c>
      <c r="R31" s="121" t="s">
        <v>1223</v>
      </c>
      <c r="S31" s="123"/>
      <c r="T31" s="122" t="s">
        <v>55</v>
      </c>
      <c r="U31" s="122"/>
      <c r="V31" s="122"/>
      <c r="W31" s="124" t="s">
        <v>135</v>
      </c>
      <c r="X31" s="3" t="s">
        <v>126</v>
      </c>
      <c r="Y31" s="84" t="s">
        <v>1549</v>
      </c>
      <c r="Z31" s="84" t="s">
        <v>1545</v>
      </c>
      <c r="AA31" s="3" t="s">
        <v>1225</v>
      </c>
      <c r="AB31" s="8">
        <v>45800</v>
      </c>
      <c r="AC31" s="84" t="s">
        <v>1550</v>
      </c>
      <c r="AD31" s="84" t="s">
        <v>58</v>
      </c>
      <c r="AE31" s="84" t="s">
        <v>1549</v>
      </c>
      <c r="AF31" s="83" t="s">
        <v>574</v>
      </c>
      <c r="AG31" s="87" t="s">
        <v>202</v>
      </c>
      <c r="AH31" s="87" t="s">
        <v>202</v>
      </c>
      <c r="AI31" s="3"/>
      <c r="AJ31" s="8"/>
      <c r="AK31" s="32" t="s">
        <v>61</v>
      </c>
      <c r="AL31" s="88"/>
      <c r="AM31" s="88"/>
    </row>
    <row r="32" spans="2:41" s="212" customFormat="1" ht="60" x14ac:dyDescent="0.2">
      <c r="B32" s="101"/>
      <c r="C32" s="366" t="s">
        <v>1551</v>
      </c>
      <c r="D32" s="209" t="s">
        <v>1552</v>
      </c>
      <c r="E32" s="198" t="s">
        <v>1553</v>
      </c>
      <c r="F32" s="198" t="s">
        <v>1554</v>
      </c>
      <c r="G32" s="198" t="s">
        <v>1227</v>
      </c>
      <c r="H32" s="198" t="s">
        <v>285</v>
      </c>
      <c r="I32" s="198" t="s">
        <v>46</v>
      </c>
      <c r="J32" s="198" t="s">
        <v>99</v>
      </c>
      <c r="K32" s="210">
        <v>45748</v>
      </c>
      <c r="L32" s="198" t="s">
        <v>1555</v>
      </c>
      <c r="M32" s="198" t="s">
        <v>1556</v>
      </c>
      <c r="N32" s="198" t="s">
        <v>263</v>
      </c>
      <c r="O32" s="198" t="s">
        <v>87</v>
      </c>
      <c r="P32" s="197" t="s">
        <v>1236</v>
      </c>
      <c r="Q32" s="198" t="s">
        <v>197</v>
      </c>
      <c r="R32" s="198" t="s">
        <v>1405</v>
      </c>
      <c r="S32" s="200">
        <v>45751</v>
      </c>
      <c r="T32" s="198" t="s">
        <v>1218</v>
      </c>
      <c r="U32" s="198"/>
      <c r="V32" s="200">
        <v>45873</v>
      </c>
      <c r="W32" s="198" t="s">
        <v>1406</v>
      </c>
      <c r="X32" s="198" t="s">
        <v>126</v>
      </c>
      <c r="Y32" s="198" t="s">
        <v>1557</v>
      </c>
      <c r="Z32" s="198" t="s">
        <v>1558</v>
      </c>
      <c r="AA32" s="198" t="s">
        <v>1218</v>
      </c>
      <c r="AB32" s="200">
        <v>45773</v>
      </c>
      <c r="AC32" s="198" t="s">
        <v>1559</v>
      </c>
      <c r="AD32" s="198" t="s">
        <v>109</v>
      </c>
      <c r="AE32" s="198" t="s">
        <v>1560</v>
      </c>
      <c r="AF32" s="198" t="s">
        <v>574</v>
      </c>
      <c r="AG32" s="198"/>
      <c r="AH32" s="198" t="s">
        <v>60</v>
      </c>
      <c r="AI32" s="198"/>
      <c r="AJ32" s="198"/>
      <c r="AK32" s="32" t="s">
        <v>61</v>
      </c>
      <c r="AL32" s="211"/>
      <c r="AM32" s="211"/>
    </row>
    <row r="33" spans="1:42" s="109" customFormat="1" ht="150" x14ac:dyDescent="0.2">
      <c r="B33" s="50"/>
      <c r="C33" s="105" t="s">
        <v>128</v>
      </c>
      <c r="D33" s="106" t="s">
        <v>129</v>
      </c>
      <c r="E33" s="111" t="s">
        <v>130</v>
      </c>
      <c r="F33" s="84" t="s">
        <v>1561</v>
      </c>
      <c r="G33" s="84" t="s">
        <v>82</v>
      </c>
      <c r="H33" s="4" t="s">
        <v>98</v>
      </c>
      <c r="I33" s="82" t="s">
        <v>46</v>
      </c>
      <c r="J33" s="4" t="s">
        <v>99</v>
      </c>
      <c r="K33" s="34">
        <v>45748</v>
      </c>
      <c r="L33" s="82" t="s">
        <v>132</v>
      </c>
      <c r="M33" s="3" t="s">
        <v>1562</v>
      </c>
      <c r="N33" s="3" t="s">
        <v>134</v>
      </c>
      <c r="O33" s="84" t="s">
        <v>1542</v>
      </c>
      <c r="P33" s="3" t="s">
        <v>123</v>
      </c>
      <c r="Q33" s="3" t="s">
        <v>197</v>
      </c>
      <c r="R33" s="84" t="s">
        <v>1223</v>
      </c>
      <c r="S33" s="8"/>
      <c r="T33" s="3" t="s">
        <v>55</v>
      </c>
      <c r="U33" s="4"/>
      <c r="V33" s="4"/>
      <c r="W33" s="3" t="s">
        <v>1563</v>
      </c>
      <c r="X33" s="3" t="s">
        <v>126</v>
      </c>
      <c r="Y33" s="84" t="s">
        <v>1564</v>
      </c>
      <c r="Z33" s="84" t="s">
        <v>1565</v>
      </c>
      <c r="AA33" s="3" t="s">
        <v>1225</v>
      </c>
      <c r="AB33" s="8">
        <v>45800</v>
      </c>
      <c r="AC33" s="84" t="s">
        <v>1566</v>
      </c>
      <c r="AD33" s="230" t="s">
        <v>109</v>
      </c>
      <c r="AE33" s="83" t="s">
        <v>1567</v>
      </c>
      <c r="AF33" s="86" t="s">
        <v>1568</v>
      </c>
      <c r="AG33" s="87" t="s">
        <v>202</v>
      </c>
      <c r="AH33" s="87" t="s">
        <v>202</v>
      </c>
      <c r="AI33" s="3"/>
      <c r="AJ33" s="8"/>
      <c r="AK33" s="32" t="s">
        <v>61</v>
      </c>
      <c r="AL33" s="88" t="s">
        <v>1546</v>
      </c>
      <c r="AM33" s="88" t="s">
        <v>1547</v>
      </c>
    </row>
    <row r="34" spans="1:42" s="212" customFormat="1" ht="150" x14ac:dyDescent="0.2">
      <c r="B34" s="101"/>
      <c r="C34" s="366" t="s">
        <v>1569</v>
      </c>
      <c r="D34" s="209" t="s">
        <v>1570</v>
      </c>
      <c r="E34" s="198" t="s">
        <v>1571</v>
      </c>
      <c r="F34" s="198" t="s">
        <v>1572</v>
      </c>
      <c r="G34" s="198" t="s">
        <v>44</v>
      </c>
      <c r="H34" s="198" t="s">
        <v>45</v>
      </c>
      <c r="I34" s="198" t="s">
        <v>46</v>
      </c>
      <c r="J34" s="198" t="s">
        <v>1457</v>
      </c>
      <c r="K34" s="210">
        <v>45748</v>
      </c>
      <c r="L34" s="198" t="s">
        <v>1573</v>
      </c>
      <c r="M34" s="6" t="s">
        <v>1562</v>
      </c>
      <c r="N34" s="198" t="s">
        <v>1574</v>
      </c>
      <c r="O34" s="198" t="s">
        <v>135</v>
      </c>
      <c r="P34" s="197" t="s">
        <v>1236</v>
      </c>
      <c r="Q34" s="198" t="s">
        <v>197</v>
      </c>
      <c r="R34" s="198" t="s">
        <v>1405</v>
      </c>
      <c r="S34" s="200">
        <v>45751</v>
      </c>
      <c r="T34" s="198" t="s">
        <v>1218</v>
      </c>
      <c r="U34" s="198"/>
      <c r="V34" s="200">
        <v>45873</v>
      </c>
      <c r="W34" s="198"/>
      <c r="X34" s="198" t="s">
        <v>126</v>
      </c>
      <c r="Y34" s="198" t="s">
        <v>1575</v>
      </c>
      <c r="Z34" s="198" t="s">
        <v>1576</v>
      </c>
      <c r="AA34" s="198"/>
      <c r="AB34" s="200"/>
      <c r="AC34" s="198" t="s">
        <v>1577</v>
      </c>
      <c r="AD34" s="198" t="s">
        <v>109</v>
      </c>
      <c r="AE34" s="198" t="s">
        <v>1578</v>
      </c>
      <c r="AF34" s="198" t="s">
        <v>574</v>
      </c>
      <c r="AG34" s="198"/>
      <c r="AH34" s="198" t="s">
        <v>60</v>
      </c>
      <c r="AI34" s="198"/>
      <c r="AJ34" s="198"/>
      <c r="AK34" s="32" t="s">
        <v>61</v>
      </c>
      <c r="AL34" s="211"/>
      <c r="AM34" s="211"/>
    </row>
    <row r="35" spans="1:42" s="212" customFormat="1" ht="135" x14ac:dyDescent="0.2">
      <c r="B35" s="101"/>
      <c r="C35" s="115" t="s">
        <v>1569</v>
      </c>
      <c r="D35" s="116" t="s">
        <v>1579</v>
      </c>
      <c r="E35" s="90" t="s">
        <v>1571</v>
      </c>
      <c r="F35" s="90" t="s">
        <v>1580</v>
      </c>
      <c r="G35" s="90" t="s">
        <v>44</v>
      </c>
      <c r="H35" s="90" t="s">
        <v>45</v>
      </c>
      <c r="I35" s="90" t="s">
        <v>46</v>
      </c>
      <c r="J35" s="90" t="s">
        <v>1457</v>
      </c>
      <c r="K35" s="191">
        <v>45748</v>
      </c>
      <c r="L35" s="90" t="s">
        <v>1581</v>
      </c>
      <c r="M35" s="90" t="s">
        <v>1582</v>
      </c>
      <c r="N35" s="90" t="s">
        <v>1574</v>
      </c>
      <c r="O35" s="90" t="s">
        <v>135</v>
      </c>
      <c r="P35" s="203" t="s">
        <v>1236</v>
      </c>
      <c r="Q35" s="90" t="s">
        <v>197</v>
      </c>
      <c r="R35" s="90" t="s">
        <v>1405</v>
      </c>
      <c r="S35" s="103">
        <v>45751</v>
      </c>
      <c r="T35" s="90" t="s">
        <v>1218</v>
      </c>
      <c r="U35" s="90"/>
      <c r="V35" s="103">
        <v>45873</v>
      </c>
      <c r="W35" s="90"/>
      <c r="X35" s="90" t="s">
        <v>1583</v>
      </c>
      <c r="Y35" s="90" t="s">
        <v>1584</v>
      </c>
      <c r="Z35" s="90" t="s">
        <v>1576</v>
      </c>
      <c r="AA35" s="90"/>
      <c r="AB35" s="103"/>
      <c r="AC35" s="90" t="s">
        <v>1577</v>
      </c>
      <c r="AD35" s="90" t="s">
        <v>109</v>
      </c>
      <c r="AE35" s="198" t="s">
        <v>1585</v>
      </c>
      <c r="AF35" s="198" t="s">
        <v>574</v>
      </c>
      <c r="AG35" s="198"/>
      <c r="AH35" s="198" t="s">
        <v>60</v>
      </c>
      <c r="AI35" s="198"/>
      <c r="AJ35" s="198"/>
      <c r="AK35" s="32" t="s">
        <v>61</v>
      </c>
      <c r="AL35" s="211"/>
      <c r="AM35" s="211"/>
    </row>
    <row r="36" spans="1:42" s="109" customFormat="1" ht="175.5" x14ac:dyDescent="0.2">
      <c r="B36" s="50"/>
      <c r="C36" s="365" t="s">
        <v>1586</v>
      </c>
      <c r="D36" s="106" t="s">
        <v>1587</v>
      </c>
      <c r="E36" s="82" t="s">
        <v>446</v>
      </c>
      <c r="F36" s="82" t="s">
        <v>1588</v>
      </c>
      <c r="G36" s="82" t="s">
        <v>44</v>
      </c>
      <c r="H36" s="4" t="s">
        <v>161</v>
      </c>
      <c r="I36" s="82" t="s">
        <v>162</v>
      </c>
      <c r="J36" s="4" t="s">
        <v>1457</v>
      </c>
      <c r="K36" s="34">
        <v>45748</v>
      </c>
      <c r="L36" s="82" t="s">
        <v>1589</v>
      </c>
      <c r="M36" s="3" t="s">
        <v>1590</v>
      </c>
      <c r="N36" s="3" t="s">
        <v>1591</v>
      </c>
      <c r="O36" s="82" t="s">
        <v>135</v>
      </c>
      <c r="P36" s="4"/>
      <c r="Q36" s="4"/>
      <c r="R36" s="84" t="s">
        <v>1228</v>
      </c>
      <c r="S36" s="33"/>
      <c r="T36" s="3" t="s">
        <v>1218</v>
      </c>
      <c r="U36" s="96" t="s">
        <v>1217</v>
      </c>
      <c r="V36" s="2" t="s">
        <v>1223</v>
      </c>
      <c r="W36" s="4" t="s">
        <v>1262</v>
      </c>
      <c r="X36" s="198" t="s">
        <v>1592</v>
      </c>
      <c r="Y36" s="84" t="s">
        <v>1593</v>
      </c>
      <c r="Z36" s="231" t="s">
        <v>1594</v>
      </c>
      <c r="AA36" s="4" t="s">
        <v>1225</v>
      </c>
      <c r="AB36" s="33">
        <v>45800</v>
      </c>
      <c r="AC36" s="82" t="s">
        <v>1595</v>
      </c>
      <c r="AD36" s="82" t="s">
        <v>58</v>
      </c>
      <c r="AE36" s="84" t="s">
        <v>1596</v>
      </c>
      <c r="AF36" s="82" t="s">
        <v>574</v>
      </c>
      <c r="AG36" s="193" t="s">
        <v>202</v>
      </c>
      <c r="AH36" s="4" t="s">
        <v>251</v>
      </c>
      <c r="AI36" s="4"/>
      <c r="AJ36" s="33"/>
      <c r="AK36" s="32" t="s">
        <v>61</v>
      </c>
      <c r="AL36" s="88"/>
      <c r="AM36" s="88"/>
    </row>
    <row r="37" spans="1:42" s="109" customFormat="1" ht="175.5" x14ac:dyDescent="0.2">
      <c r="A37" s="232"/>
      <c r="B37" s="233"/>
      <c r="C37" s="105" t="s">
        <v>1586</v>
      </c>
      <c r="D37" s="235" t="s">
        <v>1597</v>
      </c>
      <c r="E37" s="107" t="s">
        <v>446</v>
      </c>
      <c r="F37" s="107" t="s">
        <v>1588</v>
      </c>
      <c r="G37" s="107" t="s">
        <v>44</v>
      </c>
      <c r="H37" s="100" t="s">
        <v>161</v>
      </c>
      <c r="I37" s="107" t="s">
        <v>162</v>
      </c>
      <c r="J37" s="100" t="s">
        <v>1457</v>
      </c>
      <c r="K37" s="236">
        <v>45748</v>
      </c>
      <c r="L37" s="107" t="s">
        <v>1589</v>
      </c>
      <c r="M37" s="6" t="s">
        <v>1590</v>
      </c>
      <c r="N37" s="6" t="s">
        <v>1591</v>
      </c>
      <c r="O37" s="107" t="s">
        <v>135</v>
      </c>
      <c r="P37" s="100"/>
      <c r="Q37" s="100"/>
      <c r="R37" s="83" t="s">
        <v>1228</v>
      </c>
      <c r="S37" s="237"/>
      <c r="T37" s="6" t="s">
        <v>1218</v>
      </c>
      <c r="U37" s="96" t="s">
        <v>1405</v>
      </c>
      <c r="V37" s="2" t="s">
        <v>1233</v>
      </c>
      <c r="W37" s="100" t="s">
        <v>1262</v>
      </c>
      <c r="X37" s="198" t="s">
        <v>1592</v>
      </c>
      <c r="Y37" s="83" t="s">
        <v>1593</v>
      </c>
      <c r="Z37" s="238" t="s">
        <v>1594</v>
      </c>
      <c r="AA37" s="100" t="s">
        <v>1225</v>
      </c>
      <c r="AB37" s="237">
        <v>45800</v>
      </c>
      <c r="AC37" s="107" t="s">
        <v>1595</v>
      </c>
      <c r="AD37" s="107" t="s">
        <v>109</v>
      </c>
      <c r="AE37" s="83" t="s">
        <v>1598</v>
      </c>
      <c r="AF37" s="107" t="s">
        <v>574</v>
      </c>
      <c r="AG37" s="193" t="s">
        <v>202</v>
      </c>
      <c r="AH37" s="100" t="s">
        <v>251</v>
      </c>
      <c r="AI37" s="100"/>
      <c r="AJ37" s="237"/>
      <c r="AK37" s="32" t="s">
        <v>61</v>
      </c>
      <c r="AL37" s="111"/>
      <c r="AM37" s="111"/>
      <c r="AN37" s="232"/>
      <c r="AO37" s="232"/>
      <c r="AP37" s="232"/>
    </row>
    <row r="38" spans="1:42" s="109" customFormat="1" ht="225" x14ac:dyDescent="0.2">
      <c r="B38" s="50"/>
      <c r="C38" s="105" t="s">
        <v>1599</v>
      </c>
      <c r="D38" s="106" t="s">
        <v>1600</v>
      </c>
      <c r="E38" s="100" t="s">
        <v>1069</v>
      </c>
      <c r="F38" s="100" t="s">
        <v>1601</v>
      </c>
      <c r="G38" s="100" t="s">
        <v>44</v>
      </c>
      <c r="H38" s="100" t="s">
        <v>161</v>
      </c>
      <c r="I38" s="100" t="s">
        <v>162</v>
      </c>
      <c r="J38" s="100" t="s">
        <v>1457</v>
      </c>
      <c r="K38" s="236">
        <v>45748</v>
      </c>
      <c r="L38" s="100" t="s">
        <v>1602</v>
      </c>
      <c r="M38" s="100" t="s">
        <v>1603</v>
      </c>
      <c r="N38" s="100" t="s">
        <v>1604</v>
      </c>
      <c r="O38" s="100" t="s">
        <v>73</v>
      </c>
      <c r="P38" s="100" t="s">
        <v>123</v>
      </c>
      <c r="Q38" s="100"/>
      <c r="R38" s="6" t="s">
        <v>1261</v>
      </c>
      <c r="S38" s="237"/>
      <c r="T38" s="100" t="s">
        <v>55</v>
      </c>
      <c r="U38" s="100"/>
      <c r="V38" s="100"/>
      <c r="W38" s="100" t="s">
        <v>1605</v>
      </c>
      <c r="X38" s="100" t="s">
        <v>278</v>
      </c>
      <c r="Y38" s="100" t="s">
        <v>1606</v>
      </c>
      <c r="Z38" s="100" t="s">
        <v>1607</v>
      </c>
      <c r="AA38" s="100"/>
      <c r="AB38" s="237"/>
      <c r="AC38" s="100" t="s">
        <v>1608</v>
      </c>
      <c r="AD38" s="100" t="s">
        <v>109</v>
      </c>
      <c r="AE38" s="100" t="s">
        <v>1609</v>
      </c>
      <c r="AF38" s="100" t="s">
        <v>574</v>
      </c>
      <c r="AG38" s="100"/>
      <c r="AH38" s="100" t="s">
        <v>251</v>
      </c>
      <c r="AI38" s="100"/>
      <c r="AJ38" s="100"/>
      <c r="AK38" s="32" t="s">
        <v>61</v>
      </c>
      <c r="AL38" s="125"/>
      <c r="AM38" s="125"/>
    </row>
    <row r="39" spans="1:42" s="109" customFormat="1" ht="180" x14ac:dyDescent="0.2">
      <c r="B39" s="50"/>
      <c r="C39" s="365" t="s">
        <v>1610</v>
      </c>
      <c r="D39" s="106" t="s">
        <v>1611</v>
      </c>
      <c r="E39" s="82" t="s">
        <v>190</v>
      </c>
      <c r="F39" s="82" t="s">
        <v>1612</v>
      </c>
      <c r="G39" s="82" t="s">
        <v>44</v>
      </c>
      <c r="H39" s="4" t="s">
        <v>285</v>
      </c>
      <c r="I39" s="82" t="s">
        <v>46</v>
      </c>
      <c r="J39" s="4" t="s">
        <v>99</v>
      </c>
      <c r="K39" s="34">
        <v>45748</v>
      </c>
      <c r="L39" s="82" t="s">
        <v>1613</v>
      </c>
      <c r="M39" s="3" t="s">
        <v>1614</v>
      </c>
      <c r="N39" s="4" t="s">
        <v>1615</v>
      </c>
      <c r="O39" s="99" t="s">
        <v>1616</v>
      </c>
      <c r="P39" s="205" t="s">
        <v>87</v>
      </c>
      <c r="Q39" s="205" t="s">
        <v>197</v>
      </c>
      <c r="R39" s="3" t="s">
        <v>1617</v>
      </c>
      <c r="S39" s="33"/>
      <c r="T39" s="4" t="s">
        <v>1218</v>
      </c>
      <c r="U39" s="96" t="s">
        <v>1405</v>
      </c>
      <c r="V39" s="2" t="s">
        <v>1233</v>
      </c>
      <c r="W39" s="4" t="s">
        <v>1618</v>
      </c>
      <c r="X39" s="4" t="s">
        <v>1619</v>
      </c>
      <c r="Y39" s="84" t="s">
        <v>1620</v>
      </c>
      <c r="Z39" s="84" t="s">
        <v>1621</v>
      </c>
      <c r="AA39" s="4" t="s">
        <v>1225</v>
      </c>
      <c r="AB39" s="8">
        <v>45800</v>
      </c>
      <c r="AC39" s="82" t="s">
        <v>1622</v>
      </c>
      <c r="AD39" s="82" t="s">
        <v>109</v>
      </c>
      <c r="AE39" s="84" t="s">
        <v>1623</v>
      </c>
      <c r="AF39" s="82" t="s">
        <v>1624</v>
      </c>
      <c r="AG39" s="4" t="s">
        <v>250</v>
      </c>
      <c r="AH39" s="4" t="s">
        <v>60</v>
      </c>
      <c r="AI39" s="4"/>
      <c r="AJ39" s="33"/>
      <c r="AK39" s="32" t="s">
        <v>61</v>
      </c>
      <c r="AL39" s="88" t="s">
        <v>1277</v>
      </c>
      <c r="AM39" s="85" t="s">
        <v>1625</v>
      </c>
    </row>
    <row r="40" spans="1:42" s="212" customFormat="1" ht="120" x14ac:dyDescent="0.2">
      <c r="B40" s="101"/>
      <c r="C40" s="366" t="s">
        <v>1626</v>
      </c>
      <c r="D40" s="209" t="s">
        <v>1627</v>
      </c>
      <c r="E40" s="198" t="s">
        <v>1245</v>
      </c>
      <c r="F40" s="198" t="s">
        <v>1628</v>
      </c>
      <c r="G40" s="198" t="s">
        <v>258</v>
      </c>
      <c r="H40" s="198" t="s">
        <v>1231</v>
      </c>
      <c r="I40" s="198" t="s">
        <v>46</v>
      </c>
      <c r="J40" s="198" t="s">
        <v>99</v>
      </c>
      <c r="K40" s="210">
        <v>45748</v>
      </c>
      <c r="L40" s="198" t="s">
        <v>1629</v>
      </c>
      <c r="M40" s="198" t="s">
        <v>1630</v>
      </c>
      <c r="N40" s="198" t="s">
        <v>263</v>
      </c>
      <c r="O40" s="198" t="s">
        <v>1473</v>
      </c>
      <c r="P40" s="197" t="s">
        <v>1236</v>
      </c>
      <c r="Q40" s="198" t="s">
        <v>197</v>
      </c>
      <c r="R40" s="198" t="s">
        <v>1631</v>
      </c>
      <c r="S40" s="200">
        <v>45751</v>
      </c>
      <c r="T40" s="198" t="s">
        <v>1218</v>
      </c>
      <c r="U40" s="198"/>
      <c r="V40" s="200">
        <v>45873</v>
      </c>
      <c r="W40" s="198" t="s">
        <v>1406</v>
      </c>
      <c r="X40" s="198" t="s">
        <v>278</v>
      </c>
      <c r="Y40" s="198" t="s">
        <v>1632</v>
      </c>
      <c r="Z40" s="198" t="s">
        <v>1633</v>
      </c>
      <c r="AA40" s="198" t="s">
        <v>1218</v>
      </c>
      <c r="AB40" s="200">
        <v>45777</v>
      </c>
      <c r="AC40" s="198" t="s">
        <v>1634</v>
      </c>
      <c r="AD40" s="198" t="s">
        <v>58</v>
      </c>
      <c r="AE40" s="198" t="s">
        <v>1635</v>
      </c>
      <c r="AF40" s="198" t="s">
        <v>574</v>
      </c>
      <c r="AG40" s="198"/>
      <c r="AH40" s="198" t="s">
        <v>60</v>
      </c>
      <c r="AI40" s="198"/>
      <c r="AJ40" s="198"/>
      <c r="AK40" s="32" t="s">
        <v>61</v>
      </c>
      <c r="AL40" s="211"/>
      <c r="AM40" s="211"/>
    </row>
    <row r="41" spans="1:42" s="212" customFormat="1" ht="120" x14ac:dyDescent="0.2">
      <c r="B41" s="101"/>
      <c r="C41" s="115" t="s">
        <v>1626</v>
      </c>
      <c r="D41" s="116" t="s">
        <v>1636</v>
      </c>
      <c r="E41" s="90" t="s">
        <v>1069</v>
      </c>
      <c r="F41" s="90" t="s">
        <v>1628</v>
      </c>
      <c r="G41" s="90" t="s">
        <v>258</v>
      </c>
      <c r="H41" s="90" t="s">
        <v>1231</v>
      </c>
      <c r="I41" s="90" t="s">
        <v>46</v>
      </c>
      <c r="J41" s="90" t="s">
        <v>99</v>
      </c>
      <c r="K41" s="191">
        <v>45748</v>
      </c>
      <c r="L41" s="90" t="s">
        <v>1629</v>
      </c>
      <c r="M41" s="90" t="s">
        <v>1637</v>
      </c>
      <c r="N41" s="90" t="s">
        <v>263</v>
      </c>
      <c r="O41" s="90" t="s">
        <v>1473</v>
      </c>
      <c r="P41" s="203" t="s">
        <v>1236</v>
      </c>
      <c r="Q41" s="90" t="s">
        <v>197</v>
      </c>
      <c r="R41" s="90" t="s">
        <v>1631</v>
      </c>
      <c r="S41" s="103">
        <v>45751</v>
      </c>
      <c r="T41" s="90" t="s">
        <v>1218</v>
      </c>
      <c r="U41" s="90"/>
      <c r="V41" s="103">
        <v>45873</v>
      </c>
      <c r="W41" s="90" t="s">
        <v>1406</v>
      </c>
      <c r="X41" s="90" t="s">
        <v>278</v>
      </c>
      <c r="Y41" s="90" t="s">
        <v>1638</v>
      </c>
      <c r="Z41" s="90" t="s">
        <v>1639</v>
      </c>
      <c r="AA41" s="90" t="s">
        <v>1218</v>
      </c>
      <c r="AB41" s="103">
        <v>45777</v>
      </c>
      <c r="AC41" s="205" t="s">
        <v>1640</v>
      </c>
      <c r="AD41" s="205" t="s">
        <v>58</v>
      </c>
      <c r="AE41" s="205" t="s">
        <v>1641</v>
      </c>
      <c r="AF41" s="205" t="s">
        <v>574</v>
      </c>
      <c r="AG41" s="205"/>
      <c r="AH41" s="205" t="s">
        <v>60</v>
      </c>
      <c r="AI41" s="205"/>
      <c r="AJ41" s="205"/>
      <c r="AK41" s="32" t="s">
        <v>61</v>
      </c>
      <c r="AL41" s="211"/>
      <c r="AM41" s="211"/>
    </row>
    <row r="42" spans="1:42" s="212" customFormat="1" ht="120" x14ac:dyDescent="0.2">
      <c r="B42" s="101"/>
      <c r="C42" s="115" t="s">
        <v>1626</v>
      </c>
      <c r="D42" s="116" t="s">
        <v>1642</v>
      </c>
      <c r="E42" s="90" t="s">
        <v>1069</v>
      </c>
      <c r="F42" s="90" t="s">
        <v>1628</v>
      </c>
      <c r="G42" s="90" t="s">
        <v>258</v>
      </c>
      <c r="H42" s="90" t="s">
        <v>1231</v>
      </c>
      <c r="I42" s="90" t="s">
        <v>46</v>
      </c>
      <c r="J42" s="90" t="s">
        <v>99</v>
      </c>
      <c r="K42" s="191">
        <v>45748</v>
      </c>
      <c r="L42" s="90" t="s">
        <v>1629</v>
      </c>
      <c r="M42" s="90" t="s">
        <v>1637</v>
      </c>
      <c r="N42" s="90" t="s">
        <v>263</v>
      </c>
      <c r="O42" s="90" t="s">
        <v>1473</v>
      </c>
      <c r="P42" s="203" t="s">
        <v>1236</v>
      </c>
      <c r="Q42" s="90" t="s">
        <v>197</v>
      </c>
      <c r="R42" s="90" t="s">
        <v>1631</v>
      </c>
      <c r="S42" s="103">
        <v>45751</v>
      </c>
      <c r="T42" s="90" t="s">
        <v>1218</v>
      </c>
      <c r="U42" s="90"/>
      <c r="V42" s="103">
        <v>45873</v>
      </c>
      <c r="W42" s="90" t="s">
        <v>1406</v>
      </c>
      <c r="X42" s="90" t="s">
        <v>278</v>
      </c>
      <c r="Y42" s="90" t="s">
        <v>1638</v>
      </c>
      <c r="Z42" s="90" t="s">
        <v>1639</v>
      </c>
      <c r="AA42" s="90" t="s">
        <v>1218</v>
      </c>
      <c r="AB42" s="103">
        <v>45777</v>
      </c>
      <c r="AC42" s="205" t="s">
        <v>1643</v>
      </c>
      <c r="AD42" s="205" t="s">
        <v>147</v>
      </c>
      <c r="AE42" s="205" t="s">
        <v>1644</v>
      </c>
      <c r="AF42" s="205" t="s">
        <v>574</v>
      </c>
      <c r="AG42" s="205"/>
      <c r="AH42" s="205" t="s">
        <v>60</v>
      </c>
      <c r="AI42" s="205"/>
      <c r="AJ42" s="205"/>
      <c r="AK42" s="32" t="s">
        <v>61</v>
      </c>
      <c r="AL42" s="211"/>
      <c r="AM42" s="211"/>
    </row>
    <row r="43" spans="1:42" s="212" customFormat="1" ht="315" x14ac:dyDescent="0.2">
      <c r="B43" s="101"/>
      <c r="C43" s="366" t="s">
        <v>1645</v>
      </c>
      <c r="D43" s="209" t="s">
        <v>1646</v>
      </c>
      <c r="E43" s="198" t="s">
        <v>476</v>
      </c>
      <c r="F43" s="198" t="s">
        <v>1647</v>
      </c>
      <c r="G43" s="198" t="s">
        <v>82</v>
      </c>
      <c r="H43" s="198" t="s">
        <v>161</v>
      </c>
      <c r="I43" s="198" t="s">
        <v>46</v>
      </c>
      <c r="J43" s="198" t="s">
        <v>99</v>
      </c>
      <c r="K43" s="210">
        <v>45748</v>
      </c>
      <c r="L43" s="198" t="s">
        <v>1648</v>
      </c>
      <c r="M43" s="198" t="s">
        <v>1649</v>
      </c>
      <c r="N43" s="198" t="s">
        <v>1650</v>
      </c>
      <c r="O43" s="198" t="s">
        <v>1651</v>
      </c>
      <c r="P43" s="197" t="s">
        <v>1236</v>
      </c>
      <c r="Q43" s="198" t="s">
        <v>197</v>
      </c>
      <c r="R43" s="3" t="s">
        <v>1223</v>
      </c>
      <c r="S43" s="200">
        <v>45751</v>
      </c>
      <c r="T43" s="198" t="s">
        <v>1218</v>
      </c>
      <c r="U43" s="198"/>
      <c r="V43" s="2" t="s">
        <v>1223</v>
      </c>
      <c r="W43" s="198" t="s">
        <v>1406</v>
      </c>
      <c r="X43" s="198" t="s">
        <v>1652</v>
      </c>
      <c r="Y43" s="198" t="s">
        <v>1653</v>
      </c>
      <c r="Z43" s="198" t="s">
        <v>1654</v>
      </c>
      <c r="AA43" s="198" t="s">
        <v>1218</v>
      </c>
      <c r="AB43" s="200">
        <v>45773</v>
      </c>
      <c r="AC43" s="198" t="s">
        <v>1655</v>
      </c>
      <c r="AD43" s="198" t="s">
        <v>58</v>
      </c>
      <c r="AE43" s="198" t="s">
        <v>1656</v>
      </c>
      <c r="AF43" s="198" t="s">
        <v>1657</v>
      </c>
      <c r="AG43" s="198"/>
      <c r="AH43" s="198" t="s">
        <v>60</v>
      </c>
      <c r="AI43" s="198"/>
      <c r="AJ43" s="198"/>
      <c r="AK43" s="32" t="s">
        <v>61</v>
      </c>
      <c r="AL43" s="211"/>
      <c r="AM43" s="211"/>
    </row>
    <row r="44" spans="1:42" s="239" customFormat="1" ht="390" x14ac:dyDescent="0.2">
      <c r="B44" s="101"/>
      <c r="C44" s="115" t="s">
        <v>1645</v>
      </c>
      <c r="D44" s="116" t="s">
        <v>1658</v>
      </c>
      <c r="E44" s="90" t="s">
        <v>476</v>
      </c>
      <c r="F44" s="90" t="s">
        <v>1647</v>
      </c>
      <c r="G44" s="90" t="s">
        <v>82</v>
      </c>
      <c r="H44" s="90" t="s">
        <v>161</v>
      </c>
      <c r="I44" s="90" t="s">
        <v>46</v>
      </c>
      <c r="J44" s="90" t="s">
        <v>99</v>
      </c>
      <c r="K44" s="191">
        <v>45748</v>
      </c>
      <c r="L44" s="90" t="s">
        <v>1659</v>
      </c>
      <c r="M44" s="90" t="s">
        <v>1660</v>
      </c>
      <c r="N44" s="90" t="s">
        <v>1661</v>
      </c>
      <c r="O44" s="90" t="s">
        <v>1651</v>
      </c>
      <c r="P44" s="203" t="s">
        <v>1236</v>
      </c>
      <c r="Q44" s="90" t="s">
        <v>197</v>
      </c>
      <c r="R44" s="90" t="s">
        <v>1223</v>
      </c>
      <c r="S44" s="103">
        <v>45751</v>
      </c>
      <c r="T44" s="90" t="s">
        <v>1218</v>
      </c>
      <c r="U44" s="90"/>
      <c r="V44" s="221" t="s">
        <v>1223</v>
      </c>
      <c r="W44" s="90" t="s">
        <v>1406</v>
      </c>
      <c r="X44" s="90" t="s">
        <v>1662</v>
      </c>
      <c r="Y44" s="90" t="s">
        <v>1663</v>
      </c>
      <c r="Z44" s="90" t="s">
        <v>1654</v>
      </c>
      <c r="AA44" s="90"/>
      <c r="AB44" s="103">
        <v>45773</v>
      </c>
      <c r="AC44" s="198" t="s">
        <v>1664</v>
      </c>
      <c r="AD44" s="198" t="s">
        <v>58</v>
      </c>
      <c r="AE44" s="198" t="s">
        <v>1665</v>
      </c>
      <c r="AF44" s="198" t="s">
        <v>1666</v>
      </c>
      <c r="AG44" s="198"/>
      <c r="AH44" s="198" t="s">
        <v>60</v>
      </c>
      <c r="AI44" s="198"/>
      <c r="AJ44" s="198"/>
      <c r="AK44" s="32" t="s">
        <v>61</v>
      </c>
      <c r="AL44" s="240"/>
      <c r="AM44" s="240"/>
    </row>
    <row r="45" spans="1:42" s="102" customFormat="1" ht="60" x14ac:dyDescent="0.2">
      <c r="B45" s="101"/>
      <c r="C45" s="118" t="s">
        <v>1645</v>
      </c>
      <c r="D45" s="119" t="s">
        <v>1667</v>
      </c>
      <c r="E45" s="228" t="s">
        <v>476</v>
      </c>
      <c r="F45" s="228" t="s">
        <v>1647</v>
      </c>
      <c r="G45" s="228" t="s">
        <v>82</v>
      </c>
      <c r="H45" s="228" t="s">
        <v>161</v>
      </c>
      <c r="I45" s="228" t="s">
        <v>46</v>
      </c>
      <c r="J45" s="228" t="s">
        <v>99</v>
      </c>
      <c r="K45" s="241">
        <v>45748</v>
      </c>
      <c r="L45" s="228" t="s">
        <v>1659</v>
      </c>
      <c r="M45" s="228" t="s">
        <v>1660</v>
      </c>
      <c r="N45" s="228" t="s">
        <v>1661</v>
      </c>
      <c r="O45" s="228" t="s">
        <v>1651</v>
      </c>
      <c r="P45" s="206" t="s">
        <v>1236</v>
      </c>
      <c r="Q45" s="228" t="s">
        <v>197</v>
      </c>
      <c r="R45" s="198" t="s">
        <v>1223</v>
      </c>
      <c r="S45" s="242">
        <v>45751</v>
      </c>
      <c r="T45" s="228" t="s">
        <v>1218</v>
      </c>
      <c r="U45" s="228"/>
      <c r="V45" s="228" t="s">
        <v>1223</v>
      </c>
      <c r="W45" s="228" t="s">
        <v>1406</v>
      </c>
      <c r="X45" s="198" t="s">
        <v>1668</v>
      </c>
      <c r="Y45" s="198" t="s">
        <v>1669</v>
      </c>
      <c r="Z45" s="198" t="s">
        <v>1670</v>
      </c>
      <c r="AA45" s="198"/>
      <c r="AB45" s="200">
        <v>45773</v>
      </c>
      <c r="AC45" s="198" t="s">
        <v>1671</v>
      </c>
      <c r="AD45" s="198" t="s">
        <v>455</v>
      </c>
      <c r="AE45" s="198" t="s">
        <v>1672</v>
      </c>
      <c r="AF45" s="198" t="s">
        <v>574</v>
      </c>
      <c r="AG45" s="198"/>
      <c r="AH45" s="198" t="s">
        <v>60</v>
      </c>
      <c r="AI45" s="198"/>
      <c r="AJ45" s="198"/>
      <c r="AK45" s="32" t="s">
        <v>61</v>
      </c>
      <c r="AL45" s="95"/>
      <c r="AM45" s="95"/>
    </row>
    <row r="46" spans="1:42" s="212" customFormat="1" ht="75" x14ac:dyDescent="0.2">
      <c r="B46" s="101"/>
      <c r="C46" s="366" t="s">
        <v>1673</v>
      </c>
      <c r="D46" s="209" t="s">
        <v>1674</v>
      </c>
      <c r="E46" s="198" t="s">
        <v>476</v>
      </c>
      <c r="F46" s="198" t="s">
        <v>1675</v>
      </c>
      <c r="G46" s="198" t="s">
        <v>258</v>
      </c>
      <c r="H46" s="198" t="s">
        <v>285</v>
      </c>
      <c r="I46" s="198" t="s">
        <v>46</v>
      </c>
      <c r="J46" s="198" t="s">
        <v>99</v>
      </c>
      <c r="K46" s="210">
        <v>45748</v>
      </c>
      <c r="L46" s="198" t="s">
        <v>1676</v>
      </c>
      <c r="M46" s="198" t="s">
        <v>1677</v>
      </c>
      <c r="N46" s="198" t="s">
        <v>263</v>
      </c>
      <c r="O46" s="198" t="s">
        <v>87</v>
      </c>
      <c r="P46" s="197" t="s">
        <v>1236</v>
      </c>
      <c r="Q46" s="198" t="s">
        <v>197</v>
      </c>
      <c r="R46" s="198" t="s">
        <v>1631</v>
      </c>
      <c r="S46" s="200">
        <v>45751</v>
      </c>
      <c r="T46" s="198" t="s">
        <v>1218</v>
      </c>
      <c r="U46" s="198"/>
      <c r="V46" s="200">
        <v>45873</v>
      </c>
      <c r="W46" s="198" t="s">
        <v>1406</v>
      </c>
      <c r="X46" s="198" t="s">
        <v>1678</v>
      </c>
      <c r="Y46" s="198" t="s">
        <v>1679</v>
      </c>
      <c r="Z46" s="198" t="s">
        <v>1680</v>
      </c>
      <c r="AA46" s="198" t="s">
        <v>1218</v>
      </c>
      <c r="AB46" s="200">
        <v>45777</v>
      </c>
      <c r="AC46" s="198" t="s">
        <v>1643</v>
      </c>
      <c r="AD46" s="198" t="s">
        <v>58</v>
      </c>
      <c r="AE46" s="198" t="s">
        <v>1681</v>
      </c>
      <c r="AF46" s="198" t="s">
        <v>574</v>
      </c>
      <c r="AG46" s="198"/>
      <c r="AH46" s="198" t="s">
        <v>60</v>
      </c>
      <c r="AI46" s="198"/>
      <c r="AJ46" s="198"/>
      <c r="AK46" s="32" t="s">
        <v>61</v>
      </c>
      <c r="AL46" s="211"/>
      <c r="AM46" s="211"/>
    </row>
    <row r="47" spans="1:42" s="102" customFormat="1" ht="30" x14ac:dyDescent="0.2">
      <c r="B47" s="101"/>
      <c r="C47" s="105" t="s">
        <v>1682</v>
      </c>
      <c r="D47" s="106" t="s">
        <v>1683</v>
      </c>
      <c r="E47" s="4" t="s">
        <v>117</v>
      </c>
      <c r="F47" s="4"/>
      <c r="G47" s="4">
        <v>0</v>
      </c>
      <c r="H47" s="4">
        <v>0</v>
      </c>
      <c r="I47" s="4"/>
      <c r="J47" s="4" t="s">
        <v>1457</v>
      </c>
      <c r="K47" s="34">
        <v>45748</v>
      </c>
      <c r="L47" s="4" t="s">
        <v>1684</v>
      </c>
      <c r="M47" s="4"/>
      <c r="N47" s="4"/>
      <c r="O47" s="4" t="s">
        <v>135</v>
      </c>
      <c r="P47" s="4"/>
      <c r="Q47" s="4"/>
      <c r="R47" s="4"/>
      <c r="S47" s="33"/>
      <c r="T47" s="4" t="s">
        <v>55</v>
      </c>
      <c r="U47" s="4"/>
      <c r="V47" s="4"/>
      <c r="W47" s="4"/>
      <c r="X47" s="4"/>
      <c r="Y47" s="4"/>
      <c r="Z47" s="4"/>
      <c r="AA47" s="4" t="s">
        <v>1225</v>
      </c>
      <c r="AB47" s="33"/>
      <c r="AC47" s="4"/>
      <c r="AD47" s="4"/>
      <c r="AE47" s="4"/>
      <c r="AF47" s="4"/>
      <c r="AG47" s="4"/>
      <c r="AH47" s="4"/>
      <c r="AI47" s="4"/>
      <c r="AJ47" s="4"/>
      <c r="AK47" s="32" t="s">
        <v>61</v>
      </c>
      <c r="AL47" s="95"/>
      <c r="AM47" s="95"/>
    </row>
    <row r="48" spans="1:42" s="102" customFormat="1" ht="30" x14ac:dyDescent="0.2">
      <c r="B48" s="101"/>
      <c r="C48" s="105" t="s">
        <v>1685</v>
      </c>
      <c r="D48" s="106" t="s">
        <v>1686</v>
      </c>
      <c r="E48" s="4" t="s">
        <v>117</v>
      </c>
      <c r="F48" s="4"/>
      <c r="G48" s="4">
        <v>0</v>
      </c>
      <c r="H48" s="4">
        <v>0</v>
      </c>
      <c r="I48" s="4"/>
      <c r="J48" s="4" t="s">
        <v>1457</v>
      </c>
      <c r="K48" s="34">
        <v>45748</v>
      </c>
      <c r="L48" s="4" t="s">
        <v>1687</v>
      </c>
      <c r="M48" s="4"/>
      <c r="N48" s="4"/>
      <c r="O48" s="4" t="s">
        <v>135</v>
      </c>
      <c r="P48" s="4"/>
      <c r="Q48" s="4"/>
      <c r="R48" s="4"/>
      <c r="S48" s="33"/>
      <c r="T48" s="4" t="s">
        <v>55</v>
      </c>
      <c r="U48" s="4"/>
      <c r="V48" s="4"/>
      <c r="W48" s="4"/>
      <c r="X48" s="4"/>
      <c r="Y48" s="4"/>
      <c r="Z48" s="4"/>
      <c r="AA48" s="4" t="s">
        <v>1225</v>
      </c>
      <c r="AB48" s="33"/>
      <c r="AC48" s="4"/>
      <c r="AD48" s="4"/>
      <c r="AE48" s="4"/>
      <c r="AF48" s="4"/>
      <c r="AG48" s="4"/>
      <c r="AH48" s="4"/>
      <c r="AI48" s="4"/>
      <c r="AJ48" s="4"/>
      <c r="AK48" s="32" t="s">
        <v>61</v>
      </c>
      <c r="AL48" s="95"/>
      <c r="AM48" s="95"/>
    </row>
    <row r="49" spans="2:42" s="102" customFormat="1" ht="30" x14ac:dyDescent="0.2">
      <c r="B49" s="101"/>
      <c r="C49" s="105" t="s">
        <v>1688</v>
      </c>
      <c r="D49" s="106" t="s">
        <v>1689</v>
      </c>
      <c r="E49" s="4" t="s">
        <v>117</v>
      </c>
      <c r="F49" s="4"/>
      <c r="G49" s="4">
        <v>0</v>
      </c>
      <c r="H49" s="4">
        <v>0</v>
      </c>
      <c r="I49" s="4"/>
      <c r="J49" s="4" t="s">
        <v>1457</v>
      </c>
      <c r="K49" s="34">
        <v>45748</v>
      </c>
      <c r="L49" s="4" t="s">
        <v>1690</v>
      </c>
      <c r="M49" s="4"/>
      <c r="N49" s="4"/>
      <c r="O49" s="4" t="s">
        <v>135</v>
      </c>
      <c r="P49" s="4"/>
      <c r="Q49" s="4"/>
      <c r="R49" s="4"/>
      <c r="S49" s="33"/>
      <c r="T49" s="4" t="s">
        <v>55</v>
      </c>
      <c r="U49" s="4"/>
      <c r="V49" s="4"/>
      <c r="W49" s="4"/>
      <c r="X49" s="4"/>
      <c r="Y49" s="4"/>
      <c r="Z49" s="4"/>
      <c r="AA49" s="4" t="s">
        <v>1225</v>
      </c>
      <c r="AB49" s="33"/>
      <c r="AC49" s="4"/>
      <c r="AD49" s="4"/>
      <c r="AE49" s="4"/>
      <c r="AF49" s="4"/>
      <c r="AG49" s="4"/>
      <c r="AH49" s="4"/>
      <c r="AI49" s="4"/>
      <c r="AJ49" s="4"/>
      <c r="AK49" s="32" t="s">
        <v>61</v>
      </c>
      <c r="AL49" s="95"/>
      <c r="AM49" s="95"/>
    </row>
    <row r="50" spans="2:42" s="102" customFormat="1" ht="345" x14ac:dyDescent="0.2">
      <c r="B50" s="101"/>
      <c r="C50" s="365" t="s">
        <v>1691</v>
      </c>
      <c r="D50" s="106" t="s">
        <v>1692</v>
      </c>
      <c r="E50" s="4" t="s">
        <v>476</v>
      </c>
      <c r="F50" s="4" t="s">
        <v>1693</v>
      </c>
      <c r="G50" s="4" t="s">
        <v>44</v>
      </c>
      <c r="H50" s="4" t="s">
        <v>285</v>
      </c>
      <c r="I50" s="4" t="s">
        <v>260</v>
      </c>
      <c r="J50" s="4" t="s">
        <v>99</v>
      </c>
      <c r="K50" s="34">
        <v>45748</v>
      </c>
      <c r="L50" s="4" t="s">
        <v>1694</v>
      </c>
      <c r="M50" s="4" t="s">
        <v>1695</v>
      </c>
      <c r="N50" s="4" t="s">
        <v>1696</v>
      </c>
      <c r="O50" s="4" t="s">
        <v>135</v>
      </c>
      <c r="P50" s="4" t="s">
        <v>123</v>
      </c>
      <c r="Q50" s="4" t="s">
        <v>197</v>
      </c>
      <c r="R50" s="4" t="s">
        <v>1223</v>
      </c>
      <c r="S50" s="33"/>
      <c r="T50" s="4" t="s">
        <v>1218</v>
      </c>
      <c r="U50" s="4"/>
      <c r="V50" s="2" t="s">
        <v>1697</v>
      </c>
      <c r="W50" s="4" t="s">
        <v>1698</v>
      </c>
      <c r="X50" s="4" t="s">
        <v>1652</v>
      </c>
      <c r="Y50" s="4" t="s">
        <v>1699</v>
      </c>
      <c r="Z50" s="4" t="s">
        <v>1700</v>
      </c>
      <c r="AA50" s="4" t="s">
        <v>1225</v>
      </c>
      <c r="AB50" s="33">
        <v>45799</v>
      </c>
      <c r="AC50" s="4" t="s">
        <v>1701</v>
      </c>
      <c r="AD50" s="4" t="s">
        <v>58</v>
      </c>
      <c r="AE50" s="4" t="s">
        <v>1702</v>
      </c>
      <c r="AF50" s="4" t="s">
        <v>1703</v>
      </c>
      <c r="AG50" s="3" t="s">
        <v>574</v>
      </c>
      <c r="AH50" s="4" t="s">
        <v>60</v>
      </c>
      <c r="AI50" s="4" t="s">
        <v>252</v>
      </c>
      <c r="AJ50" s="4"/>
      <c r="AK50" s="32" t="s">
        <v>61</v>
      </c>
      <c r="AL50" s="95"/>
      <c r="AM50" s="95"/>
    </row>
    <row r="51" spans="2:42" s="109" customFormat="1" ht="135" x14ac:dyDescent="0.2">
      <c r="B51" s="79"/>
      <c r="C51" s="105" t="s">
        <v>1704</v>
      </c>
      <c r="D51" s="106" t="s">
        <v>1705</v>
      </c>
      <c r="E51" s="82" t="s">
        <v>117</v>
      </c>
      <c r="F51" s="84" t="s">
        <v>1706</v>
      </c>
      <c r="G51" s="84" t="s">
        <v>97</v>
      </c>
      <c r="H51" s="4" t="s">
        <v>98</v>
      </c>
      <c r="I51" s="82" t="s">
        <v>46</v>
      </c>
      <c r="J51" s="4" t="s">
        <v>99</v>
      </c>
      <c r="K51" s="34">
        <v>45748</v>
      </c>
      <c r="L51" s="82" t="s">
        <v>1707</v>
      </c>
      <c r="M51" s="3" t="s">
        <v>1708</v>
      </c>
      <c r="N51" s="3" t="s">
        <v>1709</v>
      </c>
      <c r="O51" s="99" t="s">
        <v>1710</v>
      </c>
      <c r="P51" s="3" t="s">
        <v>123</v>
      </c>
      <c r="Q51" s="3" t="s">
        <v>197</v>
      </c>
      <c r="R51" s="224"/>
      <c r="S51" s="33"/>
      <c r="T51" s="3" t="s">
        <v>55</v>
      </c>
      <c r="U51" s="1"/>
      <c r="V51" s="2"/>
      <c r="W51" s="35" t="s">
        <v>1711</v>
      </c>
      <c r="X51" s="3" t="s">
        <v>1652</v>
      </c>
      <c r="Y51" s="84" t="s">
        <v>1712</v>
      </c>
      <c r="Z51" s="84" t="s">
        <v>1713</v>
      </c>
      <c r="AA51" s="3" t="s">
        <v>1225</v>
      </c>
      <c r="AB51" s="8">
        <v>45799</v>
      </c>
      <c r="AC51" s="84" t="s">
        <v>1531</v>
      </c>
      <c r="AD51" s="82" t="s">
        <v>58</v>
      </c>
      <c r="AE51" s="84" t="s">
        <v>1714</v>
      </c>
      <c r="AF51" s="83" t="s">
        <v>1715</v>
      </c>
      <c r="AG51" s="87" t="s">
        <v>202</v>
      </c>
      <c r="AH51" s="87" t="s">
        <v>202</v>
      </c>
      <c r="AI51" s="3"/>
      <c r="AJ51" s="8"/>
      <c r="AK51" s="32" t="s">
        <v>61</v>
      </c>
      <c r="AL51" s="88"/>
      <c r="AM51" s="88"/>
    </row>
    <row r="52" spans="2:42" s="109" customFormat="1" ht="94.5" x14ac:dyDescent="0.2">
      <c r="B52" s="50"/>
      <c r="C52" s="365" t="s">
        <v>1716</v>
      </c>
      <c r="D52" s="106" t="s">
        <v>1717</v>
      </c>
      <c r="E52" s="82" t="s">
        <v>117</v>
      </c>
      <c r="F52" s="84" t="s">
        <v>1718</v>
      </c>
      <c r="G52" s="84" t="s">
        <v>82</v>
      </c>
      <c r="H52" s="4" t="s">
        <v>98</v>
      </c>
      <c r="I52" s="82" t="s">
        <v>46</v>
      </c>
      <c r="J52" s="4" t="s">
        <v>99</v>
      </c>
      <c r="K52" s="34">
        <v>45748</v>
      </c>
      <c r="L52" s="82" t="s">
        <v>1718</v>
      </c>
      <c r="M52" s="3" t="s">
        <v>1719</v>
      </c>
      <c r="N52" s="3" t="s">
        <v>1720</v>
      </c>
      <c r="O52" s="99" t="s">
        <v>1721</v>
      </c>
      <c r="P52" s="3" t="s">
        <v>123</v>
      </c>
      <c r="Q52" s="3" t="s">
        <v>197</v>
      </c>
      <c r="R52" s="84" t="s">
        <v>1223</v>
      </c>
      <c r="S52" s="33"/>
      <c r="T52" s="3" t="s">
        <v>1218</v>
      </c>
      <c r="U52" s="96" t="s">
        <v>1217</v>
      </c>
      <c r="V52" s="2" t="s">
        <v>1223</v>
      </c>
      <c r="W52" s="35" t="s">
        <v>135</v>
      </c>
      <c r="X52" s="3" t="s">
        <v>1652</v>
      </c>
      <c r="Y52" s="84" t="s">
        <v>1722</v>
      </c>
      <c r="Z52" s="84" t="s">
        <v>1723</v>
      </c>
      <c r="AA52" s="3" t="s">
        <v>1225</v>
      </c>
      <c r="AB52" s="8">
        <v>45799</v>
      </c>
      <c r="AC52" s="84" t="s">
        <v>1531</v>
      </c>
      <c r="AD52" s="82" t="s">
        <v>58</v>
      </c>
      <c r="AE52" s="84" t="s">
        <v>1724</v>
      </c>
      <c r="AF52" s="83" t="s">
        <v>1725</v>
      </c>
      <c r="AG52" s="87" t="s">
        <v>202</v>
      </c>
      <c r="AH52" s="87" t="s">
        <v>202</v>
      </c>
      <c r="AI52" s="3"/>
      <c r="AJ52" s="8"/>
      <c r="AK52" s="32" t="s">
        <v>61</v>
      </c>
      <c r="AL52" s="88"/>
      <c r="AM52" s="88"/>
    </row>
    <row r="53" spans="2:42" s="102" customFormat="1" ht="45" x14ac:dyDescent="0.2">
      <c r="B53" s="101"/>
      <c r="C53" s="105" t="s">
        <v>137</v>
      </c>
      <c r="D53" s="106" t="s">
        <v>138</v>
      </c>
      <c r="E53" s="4" t="s">
        <v>139</v>
      </c>
      <c r="F53" s="4" t="s">
        <v>140</v>
      </c>
      <c r="G53" s="4" t="s">
        <v>142</v>
      </c>
      <c r="H53" s="4" t="s">
        <v>98</v>
      </c>
      <c r="I53" s="4" t="s">
        <v>46</v>
      </c>
      <c r="J53" s="4" t="s">
        <v>99</v>
      </c>
      <c r="K53" s="34">
        <v>45748</v>
      </c>
      <c r="L53" s="4" t="s">
        <v>143</v>
      </c>
      <c r="M53" s="4"/>
      <c r="N53" s="4"/>
      <c r="O53" s="4" t="s">
        <v>73</v>
      </c>
      <c r="P53" s="4"/>
      <c r="Q53" s="4"/>
      <c r="R53" s="3" t="s">
        <v>1261</v>
      </c>
      <c r="S53" s="33"/>
      <c r="T53" s="4" t="s">
        <v>89</v>
      </c>
      <c r="U53" s="4"/>
      <c r="V53" s="4"/>
      <c r="W53" s="4"/>
      <c r="X53" s="4"/>
      <c r="Y53" s="4"/>
      <c r="Z53" s="4"/>
      <c r="AA53" s="4" t="s">
        <v>1225</v>
      </c>
      <c r="AB53" s="33"/>
      <c r="AC53" s="4"/>
      <c r="AD53" s="4"/>
      <c r="AE53" s="4"/>
      <c r="AF53" s="4"/>
      <c r="AG53" s="4"/>
      <c r="AH53" s="4"/>
      <c r="AI53" s="4"/>
      <c r="AJ53" s="4"/>
      <c r="AK53" s="32" t="s">
        <v>61</v>
      </c>
      <c r="AL53" s="95"/>
      <c r="AM53" s="95"/>
    </row>
    <row r="54" spans="2:42" s="102" customFormat="1" ht="45" x14ac:dyDescent="0.2">
      <c r="B54" s="101"/>
      <c r="C54" s="105" t="s">
        <v>1269</v>
      </c>
      <c r="D54" s="106" t="s">
        <v>1270</v>
      </c>
      <c r="E54" s="4" t="s">
        <v>139</v>
      </c>
      <c r="F54" s="126"/>
      <c r="G54" s="4" t="s">
        <v>142</v>
      </c>
      <c r="H54" s="4" t="s">
        <v>98</v>
      </c>
      <c r="I54" s="4" t="s">
        <v>46</v>
      </c>
      <c r="J54" s="4" t="s">
        <v>99</v>
      </c>
      <c r="K54" s="34">
        <v>45748</v>
      </c>
      <c r="L54" s="4" t="s">
        <v>153</v>
      </c>
      <c r="M54" s="4"/>
      <c r="N54" s="4"/>
      <c r="O54" s="4" t="s">
        <v>73</v>
      </c>
      <c r="P54" s="4"/>
      <c r="Q54" s="4"/>
      <c r="R54" s="3" t="s">
        <v>1261</v>
      </c>
      <c r="S54" s="33"/>
      <c r="T54" s="4" t="s">
        <v>89</v>
      </c>
      <c r="U54" s="4"/>
      <c r="V54" s="4"/>
      <c r="W54" s="4"/>
      <c r="X54" s="4"/>
      <c r="Y54" s="4"/>
      <c r="Z54" s="4"/>
      <c r="AA54" s="4" t="s">
        <v>1225</v>
      </c>
      <c r="AB54" s="33"/>
      <c r="AC54" s="4"/>
      <c r="AD54" s="4"/>
      <c r="AE54" s="4"/>
      <c r="AF54" s="4"/>
      <c r="AG54" s="4"/>
      <c r="AH54" s="4"/>
      <c r="AI54" s="4"/>
      <c r="AJ54" s="4"/>
      <c r="AK54" s="32" t="s">
        <v>61</v>
      </c>
      <c r="AL54" s="95"/>
      <c r="AM54" s="95"/>
    </row>
    <row r="55" spans="2:42" s="102" customFormat="1" ht="60" x14ac:dyDescent="0.2">
      <c r="B55" s="101"/>
      <c r="C55" s="105" t="s">
        <v>166</v>
      </c>
      <c r="D55" s="106" t="s">
        <v>167</v>
      </c>
      <c r="E55" s="4" t="s">
        <v>139</v>
      </c>
      <c r="F55" s="126" t="s">
        <v>168</v>
      </c>
      <c r="G55" s="4" t="s">
        <v>142</v>
      </c>
      <c r="H55" s="4" t="s">
        <v>98</v>
      </c>
      <c r="I55" s="4" t="s">
        <v>46</v>
      </c>
      <c r="J55" s="4" t="s">
        <v>99</v>
      </c>
      <c r="K55" s="34">
        <v>45748</v>
      </c>
      <c r="L55" s="4" t="s">
        <v>169</v>
      </c>
      <c r="M55" s="4"/>
      <c r="N55" s="4"/>
      <c r="O55" s="4" t="s">
        <v>73</v>
      </c>
      <c r="P55" s="4"/>
      <c r="Q55" s="4"/>
      <c r="R55" s="3" t="s">
        <v>1261</v>
      </c>
      <c r="S55" s="33"/>
      <c r="T55" s="4" t="s">
        <v>89</v>
      </c>
      <c r="U55" s="4"/>
      <c r="V55" s="4"/>
      <c r="W55" s="4"/>
      <c r="X55" s="4"/>
      <c r="Y55" s="4"/>
      <c r="Z55" s="4"/>
      <c r="AA55" s="4" t="s">
        <v>1225</v>
      </c>
      <c r="AB55" s="33"/>
      <c r="AC55" s="4"/>
      <c r="AD55" s="4"/>
      <c r="AE55" s="4"/>
      <c r="AF55" s="4"/>
      <c r="AG55" s="4"/>
      <c r="AH55" s="4"/>
      <c r="AI55" s="4"/>
      <c r="AJ55" s="4"/>
      <c r="AK55" s="32" t="s">
        <v>61</v>
      </c>
      <c r="AL55" s="95"/>
      <c r="AM55" s="95"/>
    </row>
    <row r="56" spans="2:42" s="102" customFormat="1" ht="45" x14ac:dyDescent="0.2">
      <c r="B56" s="101"/>
      <c r="C56" s="105" t="s">
        <v>170</v>
      </c>
      <c r="D56" s="106" t="s">
        <v>171</v>
      </c>
      <c r="E56" s="4" t="s">
        <v>139</v>
      </c>
      <c r="F56" s="126" t="s">
        <v>1726</v>
      </c>
      <c r="G56" s="4" t="s">
        <v>142</v>
      </c>
      <c r="H56" s="4" t="s">
        <v>98</v>
      </c>
      <c r="I56" s="4" t="s">
        <v>46</v>
      </c>
      <c r="J56" s="4" t="s">
        <v>99</v>
      </c>
      <c r="K56" s="34">
        <v>45748</v>
      </c>
      <c r="L56" s="4" t="s">
        <v>173</v>
      </c>
      <c r="M56" s="4"/>
      <c r="N56" s="4"/>
      <c r="O56" s="4" t="s">
        <v>73</v>
      </c>
      <c r="P56" s="4"/>
      <c r="Q56" s="4"/>
      <c r="R56" s="3" t="s">
        <v>1261</v>
      </c>
      <c r="S56" s="33"/>
      <c r="T56" s="4" t="s">
        <v>89</v>
      </c>
      <c r="U56" s="4"/>
      <c r="V56" s="4"/>
      <c r="W56" s="4"/>
      <c r="X56" s="4"/>
      <c r="Y56" s="4"/>
      <c r="Z56" s="4"/>
      <c r="AA56" s="4" t="s">
        <v>1225</v>
      </c>
      <c r="AB56" s="33"/>
      <c r="AC56" s="4"/>
      <c r="AD56" s="4"/>
      <c r="AE56" s="4"/>
      <c r="AF56" s="4"/>
      <c r="AG56" s="4"/>
      <c r="AH56" s="4"/>
      <c r="AI56" s="4"/>
      <c r="AJ56" s="4"/>
      <c r="AK56" s="32" t="s">
        <v>61</v>
      </c>
      <c r="AL56" s="95"/>
      <c r="AM56" s="95"/>
    </row>
    <row r="57" spans="2:42" s="102" customFormat="1" ht="30" x14ac:dyDescent="0.2">
      <c r="B57" s="101"/>
      <c r="C57" s="105" t="s">
        <v>174</v>
      </c>
      <c r="D57" s="106" t="s">
        <v>175</v>
      </c>
      <c r="E57" s="4" t="s">
        <v>139</v>
      </c>
      <c r="F57" s="126" t="s">
        <v>1727</v>
      </c>
      <c r="G57" s="4" t="s">
        <v>142</v>
      </c>
      <c r="H57" s="4" t="s">
        <v>98</v>
      </c>
      <c r="I57" s="4" t="s">
        <v>46</v>
      </c>
      <c r="J57" s="4" t="s">
        <v>99</v>
      </c>
      <c r="K57" s="34">
        <v>45748</v>
      </c>
      <c r="L57" s="4" t="s">
        <v>178</v>
      </c>
      <c r="M57" s="4"/>
      <c r="N57" s="4"/>
      <c r="O57" s="4" t="s">
        <v>73</v>
      </c>
      <c r="P57" s="4"/>
      <c r="Q57" s="4"/>
      <c r="R57" s="3" t="s">
        <v>1261</v>
      </c>
      <c r="S57" s="33"/>
      <c r="T57" s="4" t="s">
        <v>89</v>
      </c>
      <c r="U57" s="4"/>
      <c r="V57" s="4"/>
      <c r="W57" s="4"/>
      <c r="X57" s="4"/>
      <c r="Y57" s="4"/>
      <c r="Z57" s="4"/>
      <c r="AA57" s="4" t="s">
        <v>1225</v>
      </c>
      <c r="AB57" s="33"/>
      <c r="AC57" s="4"/>
      <c r="AD57" s="4"/>
      <c r="AE57" s="4"/>
      <c r="AF57" s="4"/>
      <c r="AG57" s="4"/>
      <c r="AH57" s="4"/>
      <c r="AI57" s="4"/>
      <c r="AJ57" s="4"/>
      <c r="AK57" s="32" t="s">
        <v>61</v>
      </c>
      <c r="AL57" s="95"/>
      <c r="AM57" s="95"/>
    </row>
    <row r="58" spans="2:42" s="102" customFormat="1" ht="30" x14ac:dyDescent="0.2">
      <c r="B58" s="101"/>
      <c r="C58" s="105" t="s">
        <v>180</v>
      </c>
      <c r="D58" s="106" t="s">
        <v>181</v>
      </c>
      <c r="E58" s="4" t="s">
        <v>139</v>
      </c>
      <c r="F58" s="126" t="s">
        <v>182</v>
      </c>
      <c r="G58" s="4" t="s">
        <v>142</v>
      </c>
      <c r="H58" s="4" t="s">
        <v>98</v>
      </c>
      <c r="I58" s="4" t="s">
        <v>46</v>
      </c>
      <c r="J58" s="4" t="s">
        <v>99</v>
      </c>
      <c r="K58" s="34">
        <v>45748</v>
      </c>
      <c r="L58" s="4" t="s">
        <v>183</v>
      </c>
      <c r="M58" s="4"/>
      <c r="N58" s="4"/>
      <c r="O58" s="4" t="s">
        <v>73</v>
      </c>
      <c r="P58" s="4"/>
      <c r="Q58" s="4"/>
      <c r="R58" s="3" t="s">
        <v>1261</v>
      </c>
      <c r="S58" s="33"/>
      <c r="T58" s="4" t="s">
        <v>89</v>
      </c>
      <c r="U58" s="4"/>
      <c r="V58" s="4"/>
      <c r="W58" s="4"/>
      <c r="X58" s="4"/>
      <c r="Y58" s="4"/>
      <c r="Z58" s="4"/>
      <c r="AA58" s="4" t="s">
        <v>1225</v>
      </c>
      <c r="AB58" s="33"/>
      <c r="AC58" s="4"/>
      <c r="AD58" s="4"/>
      <c r="AE58" s="4"/>
      <c r="AF58" s="4"/>
      <c r="AG58" s="4"/>
      <c r="AH58" s="4"/>
      <c r="AI58" s="4"/>
      <c r="AJ58" s="4"/>
      <c r="AK58" s="32" t="s">
        <v>61</v>
      </c>
      <c r="AL58" s="95"/>
      <c r="AM58" s="95"/>
    </row>
    <row r="59" spans="2:42" s="102" customFormat="1" ht="30" x14ac:dyDescent="0.2">
      <c r="B59" s="101"/>
      <c r="C59" s="105" t="s">
        <v>184</v>
      </c>
      <c r="D59" s="106" t="s">
        <v>185</v>
      </c>
      <c r="E59" s="4" t="s">
        <v>139</v>
      </c>
      <c r="F59" s="100" t="s">
        <v>186</v>
      </c>
      <c r="G59" s="4" t="s">
        <v>142</v>
      </c>
      <c r="H59" s="4" t="s">
        <v>98</v>
      </c>
      <c r="I59" s="4" t="s">
        <v>46</v>
      </c>
      <c r="J59" s="4" t="s">
        <v>99</v>
      </c>
      <c r="K59" s="34">
        <v>45748</v>
      </c>
      <c r="L59" s="4" t="s">
        <v>187</v>
      </c>
      <c r="M59" s="4"/>
      <c r="N59" s="4"/>
      <c r="O59" s="4" t="s">
        <v>73</v>
      </c>
      <c r="P59" s="4"/>
      <c r="Q59" s="4"/>
      <c r="R59" s="3" t="s">
        <v>1261</v>
      </c>
      <c r="S59" s="33"/>
      <c r="T59" s="4" t="s">
        <v>89</v>
      </c>
      <c r="U59" s="4"/>
      <c r="V59" s="4"/>
      <c r="W59" s="4"/>
      <c r="X59" s="4"/>
      <c r="Y59" s="4"/>
      <c r="Z59" s="4"/>
      <c r="AA59" s="4" t="s">
        <v>1225</v>
      </c>
      <c r="AB59" s="33"/>
      <c r="AC59" s="4"/>
      <c r="AD59" s="4"/>
      <c r="AE59" s="4"/>
      <c r="AF59" s="4"/>
      <c r="AG59" s="4"/>
      <c r="AH59" s="4"/>
      <c r="AI59" s="4"/>
      <c r="AJ59" s="4"/>
      <c r="AK59" s="32" t="s">
        <v>61</v>
      </c>
      <c r="AL59" s="95"/>
      <c r="AM59" s="95"/>
    </row>
    <row r="60" spans="2:42" s="212" customFormat="1" ht="180" x14ac:dyDescent="0.2">
      <c r="B60" s="243"/>
      <c r="C60" s="366" t="s">
        <v>1728</v>
      </c>
      <c r="D60" s="209" t="s">
        <v>1729</v>
      </c>
      <c r="E60" s="198" t="s">
        <v>446</v>
      </c>
      <c r="F60" s="100" t="s">
        <v>1730</v>
      </c>
      <c r="G60" s="198" t="s">
        <v>82</v>
      </c>
      <c r="H60" s="198" t="s">
        <v>161</v>
      </c>
      <c r="I60" s="198" t="s">
        <v>162</v>
      </c>
      <c r="J60" s="198" t="s">
        <v>1457</v>
      </c>
      <c r="K60" s="210">
        <v>45748</v>
      </c>
      <c r="L60" s="211" t="s">
        <v>1731</v>
      </c>
      <c r="M60" s="198" t="s">
        <v>1732</v>
      </c>
      <c r="N60" s="198" t="s">
        <v>1733</v>
      </c>
      <c r="O60" s="198" t="s">
        <v>87</v>
      </c>
      <c r="P60" s="197" t="s">
        <v>1236</v>
      </c>
      <c r="Q60" s="198" t="s">
        <v>197</v>
      </c>
      <c r="R60" s="198" t="s">
        <v>1734</v>
      </c>
      <c r="S60" s="200">
        <v>45751</v>
      </c>
      <c r="T60" s="198" t="s">
        <v>1218</v>
      </c>
      <c r="U60" s="198"/>
      <c r="V60" s="198" t="s">
        <v>1376</v>
      </c>
      <c r="W60" s="198" t="s">
        <v>1406</v>
      </c>
      <c r="X60" s="198" t="s">
        <v>513</v>
      </c>
      <c r="Y60" s="198" t="s">
        <v>1735</v>
      </c>
      <c r="Z60" s="198" t="s">
        <v>1736</v>
      </c>
      <c r="AA60" s="198"/>
      <c r="AB60" s="200"/>
      <c r="AC60" s="198" t="s">
        <v>1737</v>
      </c>
      <c r="AD60" s="198" t="s">
        <v>109</v>
      </c>
      <c r="AE60" s="198" t="s">
        <v>1738</v>
      </c>
      <c r="AF60" s="198" t="s">
        <v>574</v>
      </c>
      <c r="AG60" s="198"/>
      <c r="AH60" s="198" t="s">
        <v>60</v>
      </c>
      <c r="AI60" s="198"/>
      <c r="AJ60" s="198"/>
      <c r="AK60" s="32" t="s">
        <v>61</v>
      </c>
      <c r="AL60" s="211"/>
      <c r="AM60" s="211"/>
    </row>
    <row r="61" spans="2:42" s="212" customFormat="1" ht="135" x14ac:dyDescent="0.2">
      <c r="B61" s="243"/>
      <c r="C61" s="118" t="s">
        <v>1728</v>
      </c>
      <c r="D61" s="119" t="s">
        <v>1739</v>
      </c>
      <c r="E61" s="228" t="s">
        <v>446</v>
      </c>
      <c r="F61" s="228" t="s">
        <v>1730</v>
      </c>
      <c r="G61" s="228" t="s">
        <v>82</v>
      </c>
      <c r="H61" s="228" t="s">
        <v>161</v>
      </c>
      <c r="I61" s="228" t="s">
        <v>162</v>
      </c>
      <c r="J61" s="228" t="s">
        <v>1457</v>
      </c>
      <c r="K61" s="241">
        <v>45748</v>
      </c>
      <c r="L61" s="244" t="s">
        <v>1731</v>
      </c>
      <c r="M61" s="228" t="s">
        <v>1740</v>
      </c>
      <c r="N61" s="228" t="s">
        <v>1741</v>
      </c>
      <c r="O61" s="228" t="s">
        <v>87</v>
      </c>
      <c r="P61" s="206" t="s">
        <v>1236</v>
      </c>
      <c r="Q61" s="228" t="s">
        <v>197</v>
      </c>
      <c r="R61" s="228" t="s">
        <v>1742</v>
      </c>
      <c r="S61" s="242">
        <v>45751</v>
      </c>
      <c r="T61" s="228" t="s">
        <v>1218</v>
      </c>
      <c r="U61" s="228"/>
      <c r="V61" s="228" t="s">
        <v>1743</v>
      </c>
      <c r="W61" s="228" t="s">
        <v>1406</v>
      </c>
      <c r="X61" s="228" t="s">
        <v>513</v>
      </c>
      <c r="Y61" s="205" t="s">
        <v>1744</v>
      </c>
      <c r="Z61" s="205" t="s">
        <v>1745</v>
      </c>
      <c r="AA61" s="198"/>
      <c r="AB61" s="200"/>
      <c r="AC61" s="198" t="s">
        <v>1746</v>
      </c>
      <c r="AD61" s="198" t="s">
        <v>455</v>
      </c>
      <c r="AE61" s="198" t="s">
        <v>1747</v>
      </c>
      <c r="AF61" s="228" t="s">
        <v>574</v>
      </c>
      <c r="AG61" s="228"/>
      <c r="AH61" s="228" t="s">
        <v>60</v>
      </c>
      <c r="AI61" s="198"/>
      <c r="AJ61" s="198"/>
      <c r="AK61" s="32" t="s">
        <v>61</v>
      </c>
      <c r="AL61" s="211"/>
      <c r="AM61" s="211"/>
    </row>
    <row r="62" spans="2:42" s="102" customFormat="1" ht="30" x14ac:dyDescent="0.2">
      <c r="B62" s="101"/>
      <c r="C62" s="105" t="s">
        <v>1748</v>
      </c>
      <c r="D62" s="106" t="s">
        <v>1749</v>
      </c>
      <c r="E62" s="4" t="s">
        <v>139</v>
      </c>
      <c r="F62" s="100"/>
      <c r="G62" s="4">
        <v>0</v>
      </c>
      <c r="H62" s="4" t="s">
        <v>98</v>
      </c>
      <c r="I62" s="4" t="s">
        <v>46</v>
      </c>
      <c r="J62" s="4" t="s">
        <v>99</v>
      </c>
      <c r="K62" s="127">
        <v>45748</v>
      </c>
      <c r="L62" s="114" t="s">
        <v>1750</v>
      </c>
      <c r="M62" s="4"/>
      <c r="N62" s="4"/>
      <c r="O62" s="4"/>
      <c r="P62" s="4"/>
      <c r="Q62" s="4"/>
      <c r="R62" s="4"/>
      <c r="S62" s="33"/>
      <c r="T62" s="4" t="s">
        <v>55</v>
      </c>
      <c r="U62" s="4"/>
      <c r="V62" s="4"/>
      <c r="W62" s="4"/>
      <c r="X62" s="4"/>
      <c r="Y62" s="4"/>
      <c r="Z62" s="4"/>
      <c r="AA62" s="4" t="s">
        <v>1225</v>
      </c>
      <c r="AB62" s="33"/>
      <c r="AC62" s="4"/>
      <c r="AD62" s="4"/>
      <c r="AE62" s="4"/>
      <c r="AF62" s="4"/>
      <c r="AG62" s="4"/>
      <c r="AH62" s="4"/>
      <c r="AI62" s="4"/>
      <c r="AJ62" s="4"/>
      <c r="AK62" s="32" t="s">
        <v>61</v>
      </c>
      <c r="AL62" s="95"/>
      <c r="AM62" s="95"/>
    </row>
    <row r="63" spans="2:42" s="109" customFormat="1" ht="165" x14ac:dyDescent="0.2">
      <c r="B63" s="79"/>
      <c r="C63" s="105" t="s">
        <v>188</v>
      </c>
      <c r="D63" s="106" t="s">
        <v>1271</v>
      </c>
      <c r="E63" s="84" t="s">
        <v>190</v>
      </c>
      <c r="F63" s="100" t="s">
        <v>191</v>
      </c>
      <c r="G63" s="84" t="s">
        <v>97</v>
      </c>
      <c r="H63" s="4" t="s">
        <v>98</v>
      </c>
      <c r="I63" s="82" t="s">
        <v>46</v>
      </c>
      <c r="J63" s="4" t="s">
        <v>99</v>
      </c>
      <c r="K63" s="127">
        <v>45748</v>
      </c>
      <c r="L63" s="128" t="s">
        <v>193</v>
      </c>
      <c r="M63" s="3" t="s">
        <v>194</v>
      </c>
      <c r="N63" s="3" t="s">
        <v>195</v>
      </c>
      <c r="O63" s="99" t="s">
        <v>196</v>
      </c>
      <c r="P63" s="3" t="s">
        <v>123</v>
      </c>
      <c r="Q63" s="3" t="s">
        <v>197</v>
      </c>
      <c r="R63" s="99" t="s">
        <v>1261</v>
      </c>
      <c r="S63" s="8"/>
      <c r="T63" s="3" t="s">
        <v>89</v>
      </c>
      <c r="U63" s="3"/>
      <c r="V63" s="2"/>
      <c r="W63" s="100" t="s">
        <v>1272</v>
      </c>
      <c r="X63" s="3" t="s">
        <v>199</v>
      </c>
      <c r="Y63" s="84" t="s">
        <v>201</v>
      </c>
      <c r="Z63" s="84" t="s">
        <v>1273</v>
      </c>
      <c r="AA63" s="3" t="s">
        <v>1225</v>
      </c>
      <c r="AB63" s="8">
        <v>45799</v>
      </c>
      <c r="AC63" s="84" t="s">
        <v>1274</v>
      </c>
      <c r="AD63" s="84" t="s">
        <v>200</v>
      </c>
      <c r="AE63" s="84" t="s">
        <v>1275</v>
      </c>
      <c r="AF63" s="86" t="s">
        <v>1276</v>
      </c>
      <c r="AG63" s="87" t="s">
        <v>202</v>
      </c>
      <c r="AH63" s="87" t="s">
        <v>202</v>
      </c>
      <c r="AI63" s="4"/>
      <c r="AJ63" s="33"/>
      <c r="AK63" s="32" t="s">
        <v>61</v>
      </c>
      <c r="AL63" s="88" t="s">
        <v>1277</v>
      </c>
      <c r="AM63" s="85" t="s">
        <v>1278</v>
      </c>
      <c r="AO63" s="109" t="s">
        <v>1279</v>
      </c>
      <c r="AP63" s="50"/>
    </row>
    <row r="64" spans="2:42" s="109" customFormat="1" ht="165" x14ac:dyDescent="0.2">
      <c r="B64" s="79"/>
      <c r="C64" s="118" t="s">
        <v>1280</v>
      </c>
      <c r="D64" s="119" t="s">
        <v>1281</v>
      </c>
      <c r="E64" s="121" t="s">
        <v>190</v>
      </c>
      <c r="F64" s="120" t="s">
        <v>204</v>
      </c>
      <c r="G64" s="121" t="s">
        <v>97</v>
      </c>
      <c r="H64" s="122" t="s">
        <v>98</v>
      </c>
      <c r="I64" s="121" t="s">
        <v>46</v>
      </c>
      <c r="J64" s="122" t="s">
        <v>99</v>
      </c>
      <c r="K64" s="129">
        <v>45748</v>
      </c>
      <c r="L64" s="130" t="s">
        <v>193</v>
      </c>
      <c r="M64" s="122" t="s">
        <v>194</v>
      </c>
      <c r="N64" s="122" t="s">
        <v>195</v>
      </c>
      <c r="O64" s="121" t="s">
        <v>196</v>
      </c>
      <c r="P64" s="122" t="s">
        <v>123</v>
      </c>
      <c r="Q64" s="122" t="s">
        <v>197</v>
      </c>
      <c r="R64" s="117" t="s">
        <v>1261</v>
      </c>
      <c r="S64" s="123"/>
      <c r="T64" s="122" t="s">
        <v>89</v>
      </c>
      <c r="U64" s="122"/>
      <c r="V64" s="2"/>
      <c r="W64" s="124" t="s">
        <v>135</v>
      </c>
      <c r="X64" s="6" t="s">
        <v>199</v>
      </c>
      <c r="Y64" s="84" t="s">
        <v>207</v>
      </c>
      <c r="Z64" s="84" t="s">
        <v>1273</v>
      </c>
      <c r="AA64" s="3" t="s">
        <v>1225</v>
      </c>
      <c r="AB64" s="8">
        <v>45799</v>
      </c>
      <c r="AC64" s="84" t="s">
        <v>1282</v>
      </c>
      <c r="AD64" s="84" t="s">
        <v>200</v>
      </c>
      <c r="AE64" s="84" t="s">
        <v>1283</v>
      </c>
      <c r="AF64" s="86" t="s">
        <v>1276</v>
      </c>
      <c r="AG64" s="87" t="s">
        <v>202</v>
      </c>
      <c r="AH64" s="87" t="s">
        <v>202</v>
      </c>
      <c r="AI64" s="4"/>
      <c r="AJ64" s="33"/>
      <c r="AK64" s="32" t="s">
        <v>61</v>
      </c>
      <c r="AL64" s="88"/>
      <c r="AM64" s="88"/>
    </row>
    <row r="65" spans="2:39" s="102" customFormat="1" ht="30" x14ac:dyDescent="0.2">
      <c r="B65" s="101"/>
      <c r="C65" s="105" t="s">
        <v>208</v>
      </c>
      <c r="D65" s="106" t="s">
        <v>209</v>
      </c>
      <c r="E65" s="4" t="s">
        <v>139</v>
      </c>
      <c r="F65" s="245" t="s">
        <v>210</v>
      </c>
      <c r="G65" s="4">
        <v>0</v>
      </c>
      <c r="H65" s="4" t="s">
        <v>98</v>
      </c>
      <c r="I65" s="4" t="s">
        <v>46</v>
      </c>
      <c r="J65" s="4" t="s">
        <v>99</v>
      </c>
      <c r="K65" s="127">
        <v>45748</v>
      </c>
      <c r="L65" s="114" t="s">
        <v>210</v>
      </c>
      <c r="M65" s="4"/>
      <c r="N65" s="4"/>
      <c r="O65" s="4" t="s">
        <v>73</v>
      </c>
      <c r="P65" s="4"/>
      <c r="Q65" s="4"/>
      <c r="R65" s="3" t="s">
        <v>1261</v>
      </c>
      <c r="S65" s="33"/>
      <c r="T65" s="4" t="s">
        <v>89</v>
      </c>
      <c r="U65" s="4"/>
      <c r="V65" s="4"/>
      <c r="W65" s="4"/>
      <c r="X65" s="4"/>
      <c r="Y65" s="4"/>
      <c r="Z65" s="4"/>
      <c r="AA65" s="4" t="s">
        <v>1225</v>
      </c>
      <c r="AB65" s="33"/>
      <c r="AC65" s="4"/>
      <c r="AD65" s="4"/>
      <c r="AE65" s="4"/>
      <c r="AF65" s="4"/>
      <c r="AG65" s="4"/>
      <c r="AH65" s="4"/>
      <c r="AI65" s="4"/>
      <c r="AJ65" s="4"/>
      <c r="AK65" s="32" t="s">
        <v>61</v>
      </c>
      <c r="AL65" s="95"/>
      <c r="AM65" s="95"/>
    </row>
    <row r="66" spans="2:39" s="102" customFormat="1" ht="180" x14ac:dyDescent="0.2">
      <c r="B66" s="79"/>
      <c r="C66" s="365" t="s">
        <v>1751</v>
      </c>
      <c r="D66" s="106" t="s">
        <v>1752</v>
      </c>
      <c r="E66" s="4" t="s">
        <v>1753</v>
      </c>
      <c r="F66" s="95" t="s">
        <v>1754</v>
      </c>
      <c r="G66" s="4">
        <v>0</v>
      </c>
      <c r="H66" s="4" t="s">
        <v>83</v>
      </c>
      <c r="I66" s="4" t="s">
        <v>162</v>
      </c>
      <c r="J66" s="4" t="s">
        <v>1457</v>
      </c>
      <c r="K66" s="127">
        <v>45748</v>
      </c>
      <c r="L66" s="114" t="s">
        <v>1755</v>
      </c>
      <c r="M66" s="4"/>
      <c r="N66" s="4"/>
      <c r="O66" s="246" t="s">
        <v>1756</v>
      </c>
      <c r="P66" s="4"/>
      <c r="Q66" s="4"/>
      <c r="R66" s="247" t="s">
        <v>1336</v>
      </c>
      <c r="S66" s="33"/>
      <c r="T66" s="100" t="s">
        <v>89</v>
      </c>
      <c r="U66" s="1" t="s">
        <v>1461</v>
      </c>
      <c r="V66" s="4" t="s">
        <v>1233</v>
      </c>
      <c r="W66" s="4"/>
      <c r="X66" s="4"/>
      <c r="Y66" s="4"/>
      <c r="Z66" s="4"/>
      <c r="AA66" s="4" t="s">
        <v>1225</v>
      </c>
      <c r="AB66" s="33"/>
      <c r="AC66" s="4"/>
      <c r="AD66" s="4"/>
      <c r="AE66" s="4" t="s">
        <v>1757</v>
      </c>
      <c r="AF66" s="4"/>
      <c r="AG66" s="4"/>
      <c r="AH66" s="4"/>
      <c r="AI66" s="4"/>
      <c r="AJ66" s="4"/>
      <c r="AK66" s="32" t="s">
        <v>61</v>
      </c>
      <c r="AL66" s="95"/>
      <c r="AM66" s="95"/>
    </row>
    <row r="67" spans="2:39" s="102" customFormat="1" ht="45" x14ac:dyDescent="0.2">
      <c r="B67" s="101"/>
      <c r="C67" s="105" t="s">
        <v>213</v>
      </c>
      <c r="D67" s="106" t="s">
        <v>214</v>
      </c>
      <c r="E67" s="4" t="s">
        <v>139</v>
      </c>
      <c r="F67" s="95" t="s">
        <v>215</v>
      </c>
      <c r="G67" s="4">
        <v>0</v>
      </c>
      <c r="H67" s="4" t="s">
        <v>98</v>
      </c>
      <c r="I67" s="4" t="s">
        <v>46</v>
      </c>
      <c r="J67" s="4" t="s">
        <v>99</v>
      </c>
      <c r="K67" s="127">
        <v>45748</v>
      </c>
      <c r="L67" s="114" t="s">
        <v>217</v>
      </c>
      <c r="M67" s="4"/>
      <c r="N67" s="4"/>
      <c r="O67" s="4" t="s">
        <v>73</v>
      </c>
      <c r="P67" s="4"/>
      <c r="Q67" s="4"/>
      <c r="R67" s="3" t="s">
        <v>1261</v>
      </c>
      <c r="S67" s="33"/>
      <c r="T67" s="4" t="s">
        <v>89</v>
      </c>
      <c r="U67" s="4"/>
      <c r="V67" s="4"/>
      <c r="W67" s="4"/>
      <c r="X67" s="4"/>
      <c r="Y67" s="4"/>
      <c r="Z67" s="4"/>
      <c r="AA67" s="4" t="s">
        <v>1225</v>
      </c>
      <c r="AB67" s="33"/>
      <c r="AC67" s="4"/>
      <c r="AD67" s="4"/>
      <c r="AE67" s="4"/>
      <c r="AF67" s="4"/>
      <c r="AG67" s="4"/>
      <c r="AH67" s="4"/>
      <c r="AI67" s="4"/>
      <c r="AJ67" s="4"/>
      <c r="AK67" s="32" t="s">
        <v>61</v>
      </c>
      <c r="AL67" s="95"/>
      <c r="AM67" s="95"/>
    </row>
    <row r="68" spans="2:39" s="102" customFormat="1" ht="40.5" x14ac:dyDescent="0.2">
      <c r="B68" s="101"/>
      <c r="C68" s="105" t="s">
        <v>1284</v>
      </c>
      <c r="D68" s="106" t="s">
        <v>1285</v>
      </c>
      <c r="E68" s="4" t="s">
        <v>139</v>
      </c>
      <c r="F68" s="114" t="s">
        <v>1286</v>
      </c>
      <c r="G68" s="4">
        <v>0</v>
      </c>
      <c r="H68" s="4" t="s">
        <v>98</v>
      </c>
      <c r="I68" s="4" t="s">
        <v>46</v>
      </c>
      <c r="J68" s="4" t="s">
        <v>99</v>
      </c>
      <c r="K68" s="127">
        <v>45748</v>
      </c>
      <c r="L68" s="114" t="s">
        <v>1287</v>
      </c>
      <c r="M68" s="4"/>
      <c r="N68" s="4"/>
      <c r="O68" s="4" t="s">
        <v>73</v>
      </c>
      <c r="P68" s="4"/>
      <c r="Q68" s="4"/>
      <c r="R68" s="3" t="s">
        <v>1261</v>
      </c>
      <c r="S68" s="33"/>
      <c r="T68" s="4" t="s">
        <v>89</v>
      </c>
      <c r="U68" s="4"/>
      <c r="V68" s="4"/>
      <c r="W68" s="4"/>
      <c r="X68" s="4"/>
      <c r="Y68" s="4"/>
      <c r="Z68" s="4"/>
      <c r="AA68" s="4" t="s">
        <v>1225</v>
      </c>
      <c r="AB68" s="33"/>
      <c r="AC68" s="4"/>
      <c r="AD68" s="4"/>
      <c r="AE68" s="4"/>
      <c r="AF68" s="4"/>
      <c r="AG68" s="4"/>
      <c r="AH68" s="4"/>
      <c r="AI68" s="4"/>
      <c r="AJ68" s="4"/>
      <c r="AK68" s="32" t="s">
        <v>61</v>
      </c>
      <c r="AL68" s="88" t="s">
        <v>1288</v>
      </c>
      <c r="AM68" s="88" t="s">
        <v>1289</v>
      </c>
    </row>
    <row r="69" spans="2:39" s="102" customFormat="1" ht="60" x14ac:dyDescent="0.2">
      <c r="B69" s="101"/>
      <c r="C69" s="366" t="s">
        <v>1758</v>
      </c>
      <c r="D69" s="209" t="s">
        <v>1759</v>
      </c>
      <c r="E69" s="198" t="s">
        <v>307</v>
      </c>
      <c r="F69" s="198" t="s">
        <v>1760</v>
      </c>
      <c r="G69" s="198"/>
      <c r="H69" s="198" t="s">
        <v>161</v>
      </c>
      <c r="I69" s="198" t="s">
        <v>162</v>
      </c>
      <c r="J69" s="198" t="s">
        <v>1457</v>
      </c>
      <c r="K69" s="248">
        <v>45748</v>
      </c>
      <c r="L69" s="210" t="s">
        <v>1761</v>
      </c>
      <c r="M69" s="198" t="s">
        <v>1762</v>
      </c>
      <c r="N69" s="198" t="s">
        <v>263</v>
      </c>
      <c r="O69" s="198" t="s">
        <v>135</v>
      </c>
      <c r="P69" s="197" t="s">
        <v>1236</v>
      </c>
      <c r="Q69" s="198" t="s">
        <v>197</v>
      </c>
      <c r="R69" s="198" t="s">
        <v>1405</v>
      </c>
      <c r="S69" s="200">
        <v>45751</v>
      </c>
      <c r="T69" s="198" t="s">
        <v>1218</v>
      </c>
      <c r="U69" s="198"/>
      <c r="V69" s="200">
        <v>45852</v>
      </c>
      <c r="W69" s="198" t="s">
        <v>1406</v>
      </c>
      <c r="X69" s="198" t="s">
        <v>135</v>
      </c>
      <c r="Y69" s="198" t="s">
        <v>1763</v>
      </c>
      <c r="Z69" s="198" t="s">
        <v>1764</v>
      </c>
      <c r="AA69" s="198"/>
      <c r="AB69" s="200"/>
      <c r="AC69" s="198" t="s">
        <v>446</v>
      </c>
      <c r="AD69" s="198" t="s">
        <v>58</v>
      </c>
      <c r="AE69" s="198" t="s">
        <v>1765</v>
      </c>
      <c r="AF69" s="198" t="s">
        <v>574</v>
      </c>
      <c r="AG69" s="198"/>
      <c r="AH69" s="198" t="s">
        <v>60</v>
      </c>
      <c r="AI69" s="198"/>
      <c r="AJ69" s="198"/>
      <c r="AK69" s="32" t="s">
        <v>61</v>
      </c>
      <c r="AL69" s="95"/>
      <c r="AM69" s="95"/>
    </row>
    <row r="70" spans="2:39" s="102" customFormat="1" ht="30" x14ac:dyDescent="0.2">
      <c r="B70" s="101"/>
      <c r="C70" s="105" t="s">
        <v>1290</v>
      </c>
      <c r="D70" s="106" t="s">
        <v>1291</v>
      </c>
      <c r="E70" s="4" t="s">
        <v>1766</v>
      </c>
      <c r="F70" s="95"/>
      <c r="G70" s="4">
        <v>0</v>
      </c>
      <c r="H70" s="4" t="s">
        <v>98</v>
      </c>
      <c r="I70" s="4" t="s">
        <v>46</v>
      </c>
      <c r="J70" s="4" t="s">
        <v>99</v>
      </c>
      <c r="K70" s="127">
        <v>45748</v>
      </c>
      <c r="L70" s="114" t="s">
        <v>232</v>
      </c>
      <c r="M70" s="4"/>
      <c r="N70" s="4"/>
      <c r="O70" s="4" t="s">
        <v>233</v>
      </c>
      <c r="P70" s="4"/>
      <c r="Q70" s="4"/>
      <c r="R70" s="3" t="s">
        <v>1261</v>
      </c>
      <c r="S70" s="33"/>
      <c r="T70" s="4" t="s">
        <v>89</v>
      </c>
      <c r="U70" s="4"/>
      <c r="V70" s="4"/>
      <c r="W70" s="4"/>
      <c r="X70" s="4"/>
      <c r="Y70" s="4"/>
      <c r="Z70" s="4"/>
      <c r="AA70" s="4" t="s">
        <v>1225</v>
      </c>
      <c r="AB70" s="33"/>
      <c r="AC70" s="4"/>
      <c r="AD70" s="4"/>
      <c r="AE70" s="4"/>
      <c r="AF70" s="4"/>
      <c r="AG70" s="4"/>
      <c r="AH70" s="4"/>
      <c r="AI70" s="4"/>
      <c r="AJ70" s="4"/>
      <c r="AK70" s="32" t="s">
        <v>61</v>
      </c>
      <c r="AL70" s="95"/>
      <c r="AM70" s="95"/>
    </row>
    <row r="71" spans="2:39" s="102" customFormat="1" ht="30" x14ac:dyDescent="0.2">
      <c r="B71" s="101"/>
      <c r="C71" s="105" t="s">
        <v>1767</v>
      </c>
      <c r="D71" s="106" t="s">
        <v>1768</v>
      </c>
      <c r="E71" s="4" t="s">
        <v>229</v>
      </c>
      <c r="F71" s="95"/>
      <c r="G71" s="4">
        <v>0</v>
      </c>
      <c r="H71" s="4" t="s">
        <v>98</v>
      </c>
      <c r="I71" s="4" t="s">
        <v>46</v>
      </c>
      <c r="J71" s="4" t="s">
        <v>99</v>
      </c>
      <c r="K71" s="127">
        <v>45748</v>
      </c>
      <c r="L71" s="114" t="s">
        <v>1769</v>
      </c>
      <c r="M71" s="4"/>
      <c r="N71" s="4"/>
      <c r="O71" s="4" t="s">
        <v>1770</v>
      </c>
      <c r="P71" s="4"/>
      <c r="Q71" s="4"/>
      <c r="R71" s="3" t="s">
        <v>1261</v>
      </c>
      <c r="S71" s="33"/>
      <c r="T71" s="4" t="s">
        <v>89</v>
      </c>
      <c r="U71" s="4"/>
      <c r="V71" s="4"/>
      <c r="W71" s="4"/>
      <c r="X71" s="4"/>
      <c r="Y71" s="4"/>
      <c r="Z71" s="4"/>
      <c r="AA71" s="4" t="s">
        <v>1225</v>
      </c>
      <c r="AB71" s="33"/>
      <c r="AC71" s="4"/>
      <c r="AD71" s="4"/>
      <c r="AE71" s="4"/>
      <c r="AF71" s="4"/>
      <c r="AG71" s="4"/>
      <c r="AH71" s="4"/>
      <c r="AI71" s="4"/>
      <c r="AJ71" s="4"/>
      <c r="AK71" s="32" t="s">
        <v>61</v>
      </c>
      <c r="AL71" s="95"/>
      <c r="AM71" s="95"/>
    </row>
    <row r="72" spans="2:39" s="109" customFormat="1" ht="243" x14ac:dyDescent="0.2">
      <c r="B72" s="50"/>
      <c r="C72" s="365" t="s">
        <v>1771</v>
      </c>
      <c r="D72" s="106" t="s">
        <v>1772</v>
      </c>
      <c r="E72" s="82" t="s">
        <v>229</v>
      </c>
      <c r="F72" s="131" t="s">
        <v>1773</v>
      </c>
      <c r="G72" s="84" t="s">
        <v>97</v>
      </c>
      <c r="H72" s="4" t="s">
        <v>1774</v>
      </c>
      <c r="I72" s="82" t="s">
        <v>46</v>
      </c>
      <c r="J72" s="4" t="s">
        <v>99</v>
      </c>
      <c r="K72" s="127">
        <v>45748</v>
      </c>
      <c r="L72" s="128" t="s">
        <v>1775</v>
      </c>
      <c r="M72" s="3" t="s">
        <v>1776</v>
      </c>
      <c r="N72" s="3" t="s">
        <v>1777</v>
      </c>
      <c r="O72" s="249" t="s">
        <v>1778</v>
      </c>
      <c r="P72" s="3" t="s">
        <v>123</v>
      </c>
      <c r="Q72" s="3" t="s">
        <v>197</v>
      </c>
      <c r="R72" s="6" t="s">
        <v>1617</v>
      </c>
      <c r="S72" s="8"/>
      <c r="T72" s="3" t="s">
        <v>89</v>
      </c>
      <c r="U72" s="96" t="s">
        <v>1405</v>
      </c>
      <c r="V72" s="2" t="s">
        <v>1233</v>
      </c>
      <c r="W72" s="100" t="s">
        <v>1618</v>
      </c>
      <c r="X72" s="3" t="s">
        <v>199</v>
      </c>
      <c r="Y72" s="84" t="s">
        <v>1779</v>
      </c>
      <c r="Z72" s="84" t="s">
        <v>1780</v>
      </c>
      <c r="AA72" s="3" t="s">
        <v>1225</v>
      </c>
      <c r="AB72" s="8">
        <v>45800</v>
      </c>
      <c r="AC72" s="84" t="s">
        <v>1781</v>
      </c>
      <c r="AD72" s="84" t="s">
        <v>147</v>
      </c>
      <c r="AE72" s="84" t="s">
        <v>1782</v>
      </c>
      <c r="AF72" s="86" t="s">
        <v>1783</v>
      </c>
      <c r="AG72" s="87" t="s">
        <v>202</v>
      </c>
      <c r="AH72" s="87" t="s">
        <v>202</v>
      </c>
      <c r="AI72" s="3"/>
      <c r="AJ72" s="8"/>
      <c r="AK72" s="32" t="s">
        <v>61</v>
      </c>
      <c r="AL72" s="88" t="s">
        <v>1277</v>
      </c>
      <c r="AM72" s="85" t="s">
        <v>1784</v>
      </c>
    </row>
    <row r="73" spans="2:39" s="102" customFormat="1" ht="30" x14ac:dyDescent="0.2">
      <c r="B73" s="101"/>
      <c r="C73" s="105" t="s">
        <v>234</v>
      </c>
      <c r="D73" s="106" t="s">
        <v>235</v>
      </c>
      <c r="E73" s="4" t="s">
        <v>229</v>
      </c>
      <c r="F73" s="95"/>
      <c r="G73" s="4">
        <v>0</v>
      </c>
      <c r="H73" s="4" t="s">
        <v>98</v>
      </c>
      <c r="I73" s="4" t="s">
        <v>46</v>
      </c>
      <c r="J73" s="4" t="s">
        <v>99</v>
      </c>
      <c r="K73" s="127">
        <v>45748</v>
      </c>
      <c r="L73" s="114" t="s">
        <v>236</v>
      </c>
      <c r="M73" s="4"/>
      <c r="N73" s="4"/>
      <c r="O73" s="4" t="s">
        <v>238</v>
      </c>
      <c r="P73" s="4"/>
      <c r="Q73" s="4"/>
      <c r="R73" s="3" t="s">
        <v>1261</v>
      </c>
      <c r="S73" s="33"/>
      <c r="T73" s="4" t="s">
        <v>89</v>
      </c>
      <c r="U73" s="4"/>
      <c r="V73" s="4"/>
      <c r="W73" s="4"/>
      <c r="X73" s="4"/>
      <c r="Y73" s="4"/>
      <c r="Z73" s="4"/>
      <c r="AA73" s="4" t="s">
        <v>1225</v>
      </c>
      <c r="AB73" s="33"/>
      <c r="AC73" s="4"/>
      <c r="AD73" s="4"/>
      <c r="AE73" s="4"/>
      <c r="AF73" s="4"/>
      <c r="AG73" s="4"/>
      <c r="AH73" s="4"/>
      <c r="AI73" s="4"/>
      <c r="AJ73" s="4"/>
      <c r="AK73" s="32" t="s">
        <v>61</v>
      </c>
      <c r="AL73" s="95"/>
      <c r="AM73" s="95"/>
    </row>
    <row r="74" spans="2:39" s="109" customFormat="1" ht="409.5" x14ac:dyDescent="0.2">
      <c r="B74" s="50"/>
      <c r="C74" s="365" t="s">
        <v>1785</v>
      </c>
      <c r="D74" s="106" t="s">
        <v>1786</v>
      </c>
      <c r="E74" s="82" t="s">
        <v>1230</v>
      </c>
      <c r="F74" s="125" t="s">
        <v>1787</v>
      </c>
      <c r="G74" s="82" t="s">
        <v>1788</v>
      </c>
      <c r="H74" s="4" t="s">
        <v>161</v>
      </c>
      <c r="I74" s="82" t="s">
        <v>1789</v>
      </c>
      <c r="J74" s="4" t="s">
        <v>1457</v>
      </c>
      <c r="K74" s="127">
        <v>45748</v>
      </c>
      <c r="L74" s="128" t="s">
        <v>1790</v>
      </c>
      <c r="M74" s="3" t="s">
        <v>1791</v>
      </c>
      <c r="N74" s="4" t="s">
        <v>263</v>
      </c>
      <c r="O74" s="84" t="s">
        <v>1792</v>
      </c>
      <c r="P74" s="3" t="s">
        <v>123</v>
      </c>
      <c r="Q74" s="3" t="s">
        <v>197</v>
      </c>
      <c r="R74" s="84" t="s">
        <v>1223</v>
      </c>
      <c r="S74" s="33"/>
      <c r="T74" s="6" t="s">
        <v>1218</v>
      </c>
      <c r="U74" s="96" t="s">
        <v>1217</v>
      </c>
      <c r="V74" s="2" t="s">
        <v>1223</v>
      </c>
      <c r="W74" s="4" t="s">
        <v>1262</v>
      </c>
      <c r="X74" s="4" t="s">
        <v>1793</v>
      </c>
      <c r="Y74" s="84" t="s">
        <v>1794</v>
      </c>
      <c r="Z74" s="84" t="s">
        <v>1795</v>
      </c>
      <c r="AA74" s="4" t="s">
        <v>1225</v>
      </c>
      <c r="AB74" s="33">
        <v>45800</v>
      </c>
      <c r="AC74" s="82" t="s">
        <v>1796</v>
      </c>
      <c r="AD74" s="84" t="s">
        <v>58</v>
      </c>
      <c r="AE74" s="82" t="s">
        <v>1797</v>
      </c>
      <c r="AF74" s="86" t="s">
        <v>1798</v>
      </c>
      <c r="AG74" s="87" t="s">
        <v>202</v>
      </c>
      <c r="AH74" s="87" t="s">
        <v>202</v>
      </c>
      <c r="AI74" s="4"/>
      <c r="AJ74" s="8"/>
      <c r="AK74" s="32" t="s">
        <v>61</v>
      </c>
      <c r="AL74" s="88"/>
      <c r="AM74" s="88"/>
    </row>
    <row r="75" spans="2:39" s="109" customFormat="1" ht="324" x14ac:dyDescent="0.2">
      <c r="B75" s="50"/>
      <c r="C75" s="115" t="s">
        <v>1785</v>
      </c>
      <c r="D75" s="116" t="s">
        <v>1799</v>
      </c>
      <c r="E75" s="89" t="s">
        <v>1230</v>
      </c>
      <c r="F75" s="226" t="s">
        <v>1800</v>
      </c>
      <c r="G75" s="89" t="s">
        <v>1788</v>
      </c>
      <c r="H75" s="90" t="s">
        <v>161</v>
      </c>
      <c r="I75" s="89" t="s">
        <v>162</v>
      </c>
      <c r="J75" s="90" t="s">
        <v>1457</v>
      </c>
      <c r="K75" s="132">
        <v>45748</v>
      </c>
      <c r="L75" s="133" t="s">
        <v>1801</v>
      </c>
      <c r="M75" s="90" t="s">
        <v>1791</v>
      </c>
      <c r="N75" s="90" t="s">
        <v>263</v>
      </c>
      <c r="O75" s="89" t="s">
        <v>1792</v>
      </c>
      <c r="P75" s="90" t="s">
        <v>123</v>
      </c>
      <c r="Q75" s="90" t="s">
        <v>197</v>
      </c>
      <c r="R75" s="89" t="s">
        <v>1223</v>
      </c>
      <c r="S75" s="103"/>
      <c r="T75" s="90" t="s">
        <v>1218</v>
      </c>
      <c r="U75" s="122"/>
      <c r="V75" s="90" t="s">
        <v>1223</v>
      </c>
      <c r="W75" s="90" t="s">
        <v>1262</v>
      </c>
      <c r="X75" s="90" t="s">
        <v>1793</v>
      </c>
      <c r="Y75" s="84" t="s">
        <v>1802</v>
      </c>
      <c r="Z75" s="84" t="s">
        <v>1795</v>
      </c>
      <c r="AA75" s="4" t="s">
        <v>1225</v>
      </c>
      <c r="AB75" s="134">
        <v>45800</v>
      </c>
      <c r="AC75" s="82" t="s">
        <v>1803</v>
      </c>
      <c r="AD75" s="82" t="s">
        <v>109</v>
      </c>
      <c r="AE75" s="84" t="s">
        <v>1804</v>
      </c>
      <c r="AF75" s="82" t="s">
        <v>857</v>
      </c>
      <c r="AG75" s="193" t="s">
        <v>202</v>
      </c>
      <c r="AH75" s="4" t="s">
        <v>60</v>
      </c>
      <c r="AI75" s="4" t="s">
        <v>252</v>
      </c>
      <c r="AJ75" s="4"/>
      <c r="AK75" s="32" t="s">
        <v>61</v>
      </c>
      <c r="AL75" s="88"/>
      <c r="AM75" s="88"/>
    </row>
    <row r="76" spans="2:39" s="102" customFormat="1" x14ac:dyDescent="0.2">
      <c r="B76" s="101"/>
      <c r="C76" s="105" t="s">
        <v>1805</v>
      </c>
      <c r="D76" s="106" t="s">
        <v>1806</v>
      </c>
      <c r="E76" s="4" t="s">
        <v>79</v>
      </c>
      <c r="F76" s="95"/>
      <c r="G76" s="4">
        <v>0</v>
      </c>
      <c r="H76" s="4">
        <v>0</v>
      </c>
      <c r="I76" s="4"/>
      <c r="J76" s="4" t="s">
        <v>1457</v>
      </c>
      <c r="K76" s="127">
        <v>45748</v>
      </c>
      <c r="L76" s="114" t="s">
        <v>1807</v>
      </c>
      <c r="M76" s="4"/>
      <c r="N76" s="4"/>
      <c r="O76" s="4" t="s">
        <v>135</v>
      </c>
      <c r="P76" s="4"/>
      <c r="Q76" s="4"/>
      <c r="R76" s="4"/>
      <c r="S76" s="33"/>
      <c r="T76" s="4" t="s">
        <v>1234</v>
      </c>
      <c r="U76" s="4"/>
      <c r="V76" s="4"/>
      <c r="W76" s="4" t="s">
        <v>1808</v>
      </c>
      <c r="X76" s="4"/>
      <c r="Y76" s="4"/>
      <c r="Z76" s="4"/>
      <c r="AA76" s="4" t="s">
        <v>1225</v>
      </c>
      <c r="AB76" s="33"/>
      <c r="AC76" s="4"/>
      <c r="AD76" s="4"/>
      <c r="AE76" s="4"/>
      <c r="AF76" s="4"/>
      <c r="AG76" s="4"/>
      <c r="AH76" s="4"/>
      <c r="AI76" s="4"/>
      <c r="AJ76" s="4"/>
      <c r="AK76" s="32" t="s">
        <v>61</v>
      </c>
      <c r="AL76" s="95"/>
      <c r="AM76" s="95"/>
    </row>
    <row r="77" spans="2:39" s="102" customFormat="1" ht="210" x14ac:dyDescent="0.2">
      <c r="B77" s="101"/>
      <c r="C77" s="105" t="s">
        <v>1809</v>
      </c>
      <c r="D77" s="106" t="s">
        <v>1810</v>
      </c>
      <c r="E77" s="4" t="s">
        <v>117</v>
      </c>
      <c r="F77" s="135" t="s">
        <v>1811</v>
      </c>
      <c r="G77" s="4">
        <v>0</v>
      </c>
      <c r="H77" s="4" t="s">
        <v>98</v>
      </c>
      <c r="I77" s="4" t="s">
        <v>46</v>
      </c>
      <c r="J77" s="4" t="s">
        <v>99</v>
      </c>
      <c r="K77" s="127">
        <v>45748</v>
      </c>
      <c r="L77" s="114" t="s">
        <v>1812</v>
      </c>
      <c r="M77" s="4" t="s">
        <v>1813</v>
      </c>
      <c r="N77" s="4" t="s">
        <v>1814</v>
      </c>
      <c r="O77" s="4" t="s">
        <v>135</v>
      </c>
      <c r="P77" s="4"/>
      <c r="Q77" s="4"/>
      <c r="R77" s="3" t="s">
        <v>1261</v>
      </c>
      <c r="S77" s="33"/>
      <c r="T77" s="4" t="s">
        <v>89</v>
      </c>
      <c r="U77" s="4"/>
      <c r="V77" s="4"/>
      <c r="W77" s="3" t="s">
        <v>1815</v>
      </c>
      <c r="X77" s="3" t="s">
        <v>1652</v>
      </c>
      <c r="Y77" s="3" t="s">
        <v>1816</v>
      </c>
      <c r="Z77" s="3" t="s">
        <v>1817</v>
      </c>
      <c r="AA77" s="3" t="s">
        <v>1225</v>
      </c>
      <c r="AB77" s="8">
        <v>45838</v>
      </c>
      <c r="AC77" s="3" t="s">
        <v>1531</v>
      </c>
      <c r="AD77" s="84" t="s">
        <v>58</v>
      </c>
      <c r="AE77" s="3" t="s">
        <v>1818</v>
      </c>
      <c r="AF77" s="3" t="s">
        <v>1819</v>
      </c>
      <c r="AG77" s="4"/>
      <c r="AH77" s="4"/>
      <c r="AI77" s="4"/>
      <c r="AJ77" s="4"/>
      <c r="AK77" s="32" t="s">
        <v>61</v>
      </c>
      <c r="AL77" s="95"/>
      <c r="AM77" s="95"/>
    </row>
    <row r="78" spans="2:39" s="102" customFormat="1" ht="375" x14ac:dyDescent="0.2">
      <c r="B78" s="101"/>
      <c r="C78" s="366" t="s">
        <v>1820</v>
      </c>
      <c r="D78" s="209" t="s">
        <v>1821</v>
      </c>
      <c r="E78" s="198" t="s">
        <v>476</v>
      </c>
      <c r="F78" s="211" t="s">
        <v>1822</v>
      </c>
      <c r="G78" s="198" t="s">
        <v>44</v>
      </c>
      <c r="H78" s="198" t="s">
        <v>161</v>
      </c>
      <c r="I78" s="198" t="s">
        <v>162</v>
      </c>
      <c r="J78" s="198" t="s">
        <v>1457</v>
      </c>
      <c r="K78" s="248">
        <v>45748</v>
      </c>
      <c r="L78" s="210" t="s">
        <v>1823</v>
      </c>
      <c r="M78" s="198" t="s">
        <v>1824</v>
      </c>
      <c r="N78" s="198" t="s">
        <v>1825</v>
      </c>
      <c r="O78" s="250" t="s">
        <v>135</v>
      </c>
      <c r="P78" s="197" t="s">
        <v>1236</v>
      </c>
      <c r="Q78" s="198" t="s">
        <v>197</v>
      </c>
      <c r="R78" s="198" t="s">
        <v>1405</v>
      </c>
      <c r="S78" s="200">
        <v>45751</v>
      </c>
      <c r="T78" s="198" t="s">
        <v>1218</v>
      </c>
      <c r="U78" s="198"/>
      <c r="V78" s="200">
        <v>45873</v>
      </c>
      <c r="W78" s="198" t="s">
        <v>1406</v>
      </c>
      <c r="X78" s="198" t="s">
        <v>126</v>
      </c>
      <c r="Y78" s="210" t="s">
        <v>1826</v>
      </c>
      <c r="Z78" s="198" t="s">
        <v>1827</v>
      </c>
      <c r="AA78" s="198" t="s">
        <v>1218</v>
      </c>
      <c r="AB78" s="200">
        <v>45777</v>
      </c>
      <c r="AC78" s="198" t="s">
        <v>1828</v>
      </c>
      <c r="AD78" s="198" t="s">
        <v>58</v>
      </c>
      <c r="AE78" s="198" t="s">
        <v>1829</v>
      </c>
      <c r="AF78" s="198" t="s">
        <v>1830</v>
      </c>
      <c r="AG78" s="198"/>
      <c r="AH78" s="198" t="s">
        <v>60</v>
      </c>
      <c r="AI78" s="198"/>
      <c r="AJ78" s="198"/>
      <c r="AK78" s="32" t="s">
        <v>61</v>
      </c>
      <c r="AL78" s="95"/>
      <c r="AM78" s="95"/>
    </row>
    <row r="79" spans="2:39" s="102" customFormat="1" ht="30" x14ac:dyDescent="0.2">
      <c r="B79" s="243"/>
      <c r="C79" s="366" t="s">
        <v>1831</v>
      </c>
      <c r="D79" s="209" t="s">
        <v>1832</v>
      </c>
      <c r="E79" s="198" t="s">
        <v>446</v>
      </c>
      <c r="F79" s="211" t="s">
        <v>1833</v>
      </c>
      <c r="G79" s="198" t="s">
        <v>1788</v>
      </c>
      <c r="H79" s="198" t="s">
        <v>161</v>
      </c>
      <c r="I79" s="198"/>
      <c r="J79" s="198" t="s">
        <v>1457</v>
      </c>
      <c r="K79" s="248">
        <v>45748</v>
      </c>
      <c r="L79" s="210" t="s">
        <v>1834</v>
      </c>
      <c r="M79" s="198" t="s">
        <v>1835</v>
      </c>
      <c r="N79" s="198" t="s">
        <v>263</v>
      </c>
      <c r="O79" s="198" t="s">
        <v>135</v>
      </c>
      <c r="P79" s="198" t="s">
        <v>1236</v>
      </c>
      <c r="Q79" s="198" t="s">
        <v>197</v>
      </c>
      <c r="R79" s="198" t="s">
        <v>1836</v>
      </c>
      <c r="S79" s="200">
        <v>45751</v>
      </c>
      <c r="T79" s="198" t="s">
        <v>1218</v>
      </c>
      <c r="U79" s="198"/>
      <c r="V79" s="198" t="s">
        <v>1376</v>
      </c>
      <c r="W79" s="198" t="s">
        <v>1406</v>
      </c>
      <c r="X79" s="198" t="s">
        <v>1837</v>
      </c>
      <c r="Y79" s="198" t="s">
        <v>1837</v>
      </c>
      <c r="Z79" s="198" t="s">
        <v>1837</v>
      </c>
      <c r="AA79" s="198"/>
      <c r="AB79" s="198"/>
      <c r="AC79" s="198" t="s">
        <v>135</v>
      </c>
      <c r="AD79" s="198" t="s">
        <v>135</v>
      </c>
      <c r="AE79" s="198" t="s">
        <v>1837</v>
      </c>
      <c r="AF79" s="198" t="s">
        <v>135</v>
      </c>
      <c r="AG79" s="198"/>
      <c r="AH79" s="198" t="s">
        <v>135</v>
      </c>
      <c r="AI79" s="198"/>
      <c r="AJ79" s="198"/>
      <c r="AK79" s="32" t="s">
        <v>61</v>
      </c>
      <c r="AL79" s="95"/>
      <c r="AM79" s="95"/>
    </row>
    <row r="80" spans="2:39" s="109" customFormat="1" ht="108" x14ac:dyDescent="0.2">
      <c r="B80" s="50"/>
      <c r="C80" s="105" t="s">
        <v>1292</v>
      </c>
      <c r="D80" s="106" t="s">
        <v>1293</v>
      </c>
      <c r="E80" s="82" t="s">
        <v>190</v>
      </c>
      <c r="F80" s="125" t="s">
        <v>1294</v>
      </c>
      <c r="G80" s="82" t="s">
        <v>44</v>
      </c>
      <c r="H80" s="4" t="s">
        <v>243</v>
      </c>
      <c r="I80" s="82" t="s">
        <v>46</v>
      </c>
      <c r="J80" s="4" t="s">
        <v>99</v>
      </c>
      <c r="K80" s="127">
        <v>45748</v>
      </c>
      <c r="L80" s="128" t="s">
        <v>244</v>
      </c>
      <c r="M80" s="4" t="s">
        <v>245</v>
      </c>
      <c r="N80" s="4" t="s">
        <v>246</v>
      </c>
      <c r="O80" s="82" t="s">
        <v>247</v>
      </c>
      <c r="P80" s="3" t="s">
        <v>123</v>
      </c>
      <c r="Q80" s="3" t="s">
        <v>197</v>
      </c>
      <c r="R80" s="3" t="s">
        <v>1261</v>
      </c>
      <c r="S80" s="4"/>
      <c r="T80" s="4" t="s">
        <v>89</v>
      </c>
      <c r="U80" s="4"/>
      <c r="V80" s="4"/>
      <c r="W80" s="4" t="s">
        <v>1262</v>
      </c>
      <c r="X80" s="4" t="s">
        <v>248</v>
      </c>
      <c r="Y80" s="82" t="s">
        <v>249</v>
      </c>
      <c r="Z80" s="82" t="s">
        <v>1295</v>
      </c>
      <c r="AA80" s="4" t="s">
        <v>1225</v>
      </c>
      <c r="AB80" s="4"/>
      <c r="AC80" s="82" t="s">
        <v>1296</v>
      </c>
      <c r="AD80" s="82" t="s">
        <v>109</v>
      </c>
      <c r="AE80" s="82" t="s">
        <v>1297</v>
      </c>
      <c r="AF80" s="82" t="s">
        <v>857</v>
      </c>
      <c r="AG80" s="4" t="s">
        <v>250</v>
      </c>
      <c r="AH80" s="4" t="s">
        <v>251</v>
      </c>
      <c r="AI80" s="4" t="s">
        <v>252</v>
      </c>
      <c r="AJ80" s="4"/>
      <c r="AK80" s="32" t="s">
        <v>61</v>
      </c>
      <c r="AL80" s="125"/>
      <c r="AM80" s="125"/>
    </row>
    <row r="81" spans="1:39" s="109" customFormat="1" ht="135" x14ac:dyDescent="0.2">
      <c r="B81" s="50"/>
      <c r="C81" s="365" t="s">
        <v>1838</v>
      </c>
      <c r="D81" s="106" t="s">
        <v>1839</v>
      </c>
      <c r="E81" s="82" t="s">
        <v>229</v>
      </c>
      <c r="F81" s="131" t="s">
        <v>1840</v>
      </c>
      <c r="G81" s="82" t="s">
        <v>97</v>
      </c>
      <c r="H81" s="4" t="s">
        <v>1774</v>
      </c>
      <c r="I81" s="82" t="s">
        <v>46</v>
      </c>
      <c r="J81" s="4" t="s">
        <v>99</v>
      </c>
      <c r="K81" s="127">
        <v>45748</v>
      </c>
      <c r="L81" s="128" t="s">
        <v>1841</v>
      </c>
      <c r="M81" s="3" t="s">
        <v>1842</v>
      </c>
      <c r="N81" s="3" t="s">
        <v>1843</v>
      </c>
      <c r="O81" s="99" t="s">
        <v>1844</v>
      </c>
      <c r="P81" s="3" t="s">
        <v>123</v>
      </c>
      <c r="Q81" s="3" t="s">
        <v>197</v>
      </c>
      <c r="R81" s="227" t="s">
        <v>1617</v>
      </c>
      <c r="S81" s="6"/>
      <c r="T81" s="3" t="s">
        <v>89</v>
      </c>
      <c r="U81" s="96" t="s">
        <v>1405</v>
      </c>
      <c r="V81" s="2" t="s">
        <v>1233</v>
      </c>
      <c r="W81" s="100" t="s">
        <v>1618</v>
      </c>
      <c r="X81" s="3" t="s">
        <v>1845</v>
      </c>
      <c r="Y81" s="84" t="s">
        <v>1846</v>
      </c>
      <c r="Z81" s="84" t="s">
        <v>1847</v>
      </c>
      <c r="AA81" s="3" t="s">
        <v>1225</v>
      </c>
      <c r="AB81" s="134">
        <v>45800</v>
      </c>
      <c r="AC81" s="84" t="s">
        <v>1848</v>
      </c>
      <c r="AD81" s="84" t="s">
        <v>109</v>
      </c>
      <c r="AE81" s="84" t="s">
        <v>1849</v>
      </c>
      <c r="AF81" s="86" t="s">
        <v>1850</v>
      </c>
      <c r="AG81" s="87" t="s">
        <v>202</v>
      </c>
      <c r="AH81" s="87" t="s">
        <v>202</v>
      </c>
      <c r="AI81" s="3"/>
      <c r="AJ81" s="8"/>
      <c r="AK81" s="32" t="s">
        <v>61</v>
      </c>
      <c r="AL81" s="88" t="s">
        <v>1277</v>
      </c>
      <c r="AM81" s="85" t="s">
        <v>1851</v>
      </c>
    </row>
    <row r="82" spans="1:39" s="109" customFormat="1" ht="135" x14ac:dyDescent="0.2">
      <c r="B82" s="50"/>
      <c r="C82" s="365" t="s">
        <v>1852</v>
      </c>
      <c r="D82" s="106" t="s">
        <v>1853</v>
      </c>
      <c r="E82" s="82" t="s">
        <v>229</v>
      </c>
      <c r="F82" s="131" t="s">
        <v>1854</v>
      </c>
      <c r="G82" s="84" t="s">
        <v>97</v>
      </c>
      <c r="H82" s="4" t="s">
        <v>98</v>
      </c>
      <c r="I82" s="82" t="s">
        <v>46</v>
      </c>
      <c r="J82" s="4" t="s">
        <v>99</v>
      </c>
      <c r="K82" s="127">
        <v>45748</v>
      </c>
      <c r="L82" s="128" t="s">
        <v>1855</v>
      </c>
      <c r="M82" s="3" t="s">
        <v>1856</v>
      </c>
      <c r="N82" s="3" t="s">
        <v>135</v>
      </c>
      <c r="O82" s="84" t="s">
        <v>1857</v>
      </c>
      <c r="P82" s="3" t="s">
        <v>123</v>
      </c>
      <c r="Q82" s="3" t="s">
        <v>197</v>
      </c>
      <c r="R82" s="6" t="s">
        <v>1617</v>
      </c>
      <c r="S82" s="3"/>
      <c r="T82" s="3" t="s">
        <v>89</v>
      </c>
      <c r="U82" s="96" t="s">
        <v>1405</v>
      </c>
      <c r="V82" s="2" t="s">
        <v>1233</v>
      </c>
      <c r="W82" s="100" t="s">
        <v>1618</v>
      </c>
      <c r="X82" s="3" t="s">
        <v>1845</v>
      </c>
      <c r="Y82" s="84" t="s">
        <v>1858</v>
      </c>
      <c r="Z82" s="84" t="s">
        <v>1859</v>
      </c>
      <c r="AA82" s="3" t="s">
        <v>1225</v>
      </c>
      <c r="AB82" s="8">
        <v>45800</v>
      </c>
      <c r="AC82" s="84" t="s">
        <v>1860</v>
      </c>
      <c r="AD82" s="84" t="s">
        <v>109</v>
      </c>
      <c r="AE82" s="84" t="s">
        <v>1861</v>
      </c>
      <c r="AF82" s="86" t="s">
        <v>1862</v>
      </c>
      <c r="AG82" s="87" t="s">
        <v>202</v>
      </c>
      <c r="AH82" s="87" t="s">
        <v>202</v>
      </c>
      <c r="AI82" s="3"/>
      <c r="AJ82" s="8"/>
      <c r="AK82" s="32" t="s">
        <v>61</v>
      </c>
      <c r="AL82" s="88" t="s">
        <v>1277</v>
      </c>
      <c r="AM82" s="85" t="s">
        <v>1625</v>
      </c>
    </row>
    <row r="83" spans="1:39" s="102" customFormat="1" ht="30" x14ac:dyDescent="0.2">
      <c r="B83" s="101"/>
      <c r="C83" s="105" t="s">
        <v>1863</v>
      </c>
      <c r="D83" s="106" t="s">
        <v>1864</v>
      </c>
      <c r="E83" s="4" t="s">
        <v>139</v>
      </c>
      <c r="F83" s="95"/>
      <c r="G83" s="4">
        <v>0</v>
      </c>
      <c r="H83" s="4">
        <v>0</v>
      </c>
      <c r="I83" s="4"/>
      <c r="J83" s="4" t="s">
        <v>1457</v>
      </c>
      <c r="K83" s="127">
        <v>45748</v>
      </c>
      <c r="L83" s="114" t="s">
        <v>1865</v>
      </c>
      <c r="M83" s="4"/>
      <c r="N83" s="4"/>
      <c r="O83" s="4" t="s">
        <v>135</v>
      </c>
      <c r="P83" s="4"/>
      <c r="Q83" s="4"/>
      <c r="R83" s="4"/>
      <c r="S83" s="4"/>
      <c r="T83" s="4" t="s">
        <v>55</v>
      </c>
      <c r="U83" s="4"/>
      <c r="V83" s="4"/>
      <c r="W83" s="4" t="s">
        <v>1866</v>
      </c>
      <c r="X83" s="4"/>
      <c r="Y83" s="4"/>
      <c r="Z83" s="4"/>
      <c r="AA83" s="4" t="s">
        <v>1225</v>
      </c>
      <c r="AB83" s="4"/>
      <c r="AC83" s="4"/>
      <c r="AD83" s="4"/>
      <c r="AE83" s="4"/>
      <c r="AF83" s="4"/>
      <c r="AG83" s="4"/>
      <c r="AH83" s="4"/>
      <c r="AI83" s="4"/>
      <c r="AJ83" s="4"/>
      <c r="AK83" s="32" t="s">
        <v>61</v>
      </c>
      <c r="AL83" s="95"/>
      <c r="AM83" s="95"/>
    </row>
    <row r="84" spans="1:39" s="102" customFormat="1" ht="45" x14ac:dyDescent="0.2">
      <c r="B84" s="101"/>
      <c r="C84" s="105" t="s">
        <v>1867</v>
      </c>
      <c r="D84" s="106" t="s">
        <v>1868</v>
      </c>
      <c r="E84" s="4" t="s">
        <v>139</v>
      </c>
      <c r="F84" s="95"/>
      <c r="G84" s="4">
        <v>0</v>
      </c>
      <c r="H84" s="4">
        <v>0</v>
      </c>
      <c r="I84" s="4"/>
      <c r="J84" s="4" t="s">
        <v>1457</v>
      </c>
      <c r="K84" s="127">
        <v>45748</v>
      </c>
      <c r="L84" s="114" t="s">
        <v>1869</v>
      </c>
      <c r="M84" s="4"/>
      <c r="N84" s="4"/>
      <c r="O84" s="4" t="s">
        <v>135</v>
      </c>
      <c r="P84" s="4"/>
      <c r="Q84" s="4"/>
      <c r="R84" s="4"/>
      <c r="S84" s="4"/>
      <c r="T84" s="4" t="s">
        <v>55</v>
      </c>
      <c r="U84" s="4"/>
      <c r="V84" s="4"/>
      <c r="W84" s="4" t="s">
        <v>1866</v>
      </c>
      <c r="X84" s="4"/>
      <c r="Y84" s="4"/>
      <c r="Z84" s="4"/>
      <c r="AA84" s="4" t="s">
        <v>1225</v>
      </c>
      <c r="AB84" s="4"/>
      <c r="AC84" s="4"/>
      <c r="AD84" s="4"/>
      <c r="AE84" s="4"/>
      <c r="AF84" s="4"/>
      <c r="AG84" s="4"/>
      <c r="AH84" s="4"/>
      <c r="AI84" s="4"/>
      <c r="AJ84" s="4"/>
      <c r="AK84" s="32" t="s">
        <v>61</v>
      </c>
      <c r="AL84" s="95"/>
      <c r="AM84" s="95"/>
    </row>
    <row r="85" spans="1:39" s="109" customFormat="1" ht="121.5" x14ac:dyDescent="0.2">
      <c r="B85" s="79"/>
      <c r="C85" s="365" t="s">
        <v>1870</v>
      </c>
      <c r="D85" s="106" t="s">
        <v>1871</v>
      </c>
      <c r="E85" s="82" t="s">
        <v>139</v>
      </c>
      <c r="F85" s="131" t="s">
        <v>1872</v>
      </c>
      <c r="G85" s="84" t="s">
        <v>97</v>
      </c>
      <c r="H85" s="4" t="s">
        <v>98</v>
      </c>
      <c r="I85" s="82" t="s">
        <v>46</v>
      </c>
      <c r="J85" s="4" t="s">
        <v>99</v>
      </c>
      <c r="K85" s="127">
        <v>45748</v>
      </c>
      <c r="L85" s="128" t="s">
        <v>1873</v>
      </c>
      <c r="M85" s="3" t="s">
        <v>1874</v>
      </c>
      <c r="N85" s="3" t="s">
        <v>1875</v>
      </c>
      <c r="O85" s="99" t="s">
        <v>1876</v>
      </c>
      <c r="P85" s="3" t="s">
        <v>73</v>
      </c>
      <c r="Q85" s="3" t="s">
        <v>197</v>
      </c>
      <c r="R85" s="99" t="s">
        <v>1617</v>
      </c>
      <c r="S85" s="3"/>
      <c r="T85" s="3" t="s">
        <v>89</v>
      </c>
      <c r="U85" s="96" t="s">
        <v>1405</v>
      </c>
      <c r="V85" s="2" t="s">
        <v>1233</v>
      </c>
      <c r="W85" s="35" t="s">
        <v>135</v>
      </c>
      <c r="X85" s="135" t="s">
        <v>1877</v>
      </c>
      <c r="Y85" s="84" t="s">
        <v>1878</v>
      </c>
      <c r="Z85" s="84" t="s">
        <v>1879</v>
      </c>
      <c r="AA85" s="3" t="s">
        <v>1225</v>
      </c>
      <c r="AB85" s="8">
        <v>45800</v>
      </c>
      <c r="AC85" s="84" t="s">
        <v>1880</v>
      </c>
      <c r="AD85" s="84" t="s">
        <v>109</v>
      </c>
      <c r="AE85" s="84" t="s">
        <v>1881</v>
      </c>
      <c r="AF85" s="84" t="s">
        <v>1882</v>
      </c>
      <c r="AG85" s="87" t="s">
        <v>202</v>
      </c>
      <c r="AH85" s="87" t="s">
        <v>202</v>
      </c>
      <c r="AI85" s="3"/>
      <c r="AJ85" s="8"/>
      <c r="AK85" s="32" t="s">
        <v>61</v>
      </c>
      <c r="AL85" s="88" t="s">
        <v>1309</v>
      </c>
      <c r="AM85" s="194" t="s">
        <v>1883</v>
      </c>
    </row>
    <row r="86" spans="1:39" s="109" customFormat="1" ht="121.5" x14ac:dyDescent="0.2">
      <c r="B86" s="79"/>
      <c r="C86" s="115" t="s">
        <v>1870</v>
      </c>
      <c r="D86" s="116" t="s">
        <v>1884</v>
      </c>
      <c r="E86" s="89" t="s">
        <v>139</v>
      </c>
      <c r="F86" s="226" t="s">
        <v>1885</v>
      </c>
      <c r="G86" s="89" t="s">
        <v>97</v>
      </c>
      <c r="H86" s="90" t="s">
        <v>98</v>
      </c>
      <c r="I86" s="89" t="s">
        <v>46</v>
      </c>
      <c r="J86" s="90" t="s">
        <v>99</v>
      </c>
      <c r="K86" s="132">
        <v>45748</v>
      </c>
      <c r="L86" s="133" t="s">
        <v>1873</v>
      </c>
      <c r="M86" s="90" t="s">
        <v>1886</v>
      </c>
      <c r="N86" s="90" t="s">
        <v>1875</v>
      </c>
      <c r="O86" s="117" t="s">
        <v>1876</v>
      </c>
      <c r="P86" s="90" t="s">
        <v>73</v>
      </c>
      <c r="Q86" s="90" t="s">
        <v>197</v>
      </c>
      <c r="R86" s="117" t="s">
        <v>1617</v>
      </c>
      <c r="S86" s="90"/>
      <c r="T86" s="90" t="s">
        <v>89</v>
      </c>
      <c r="U86" s="96" t="s">
        <v>1405</v>
      </c>
      <c r="V86" s="90" t="s">
        <v>1233</v>
      </c>
      <c r="W86" s="91" t="s">
        <v>135</v>
      </c>
      <c r="X86" s="136" t="s">
        <v>1877</v>
      </c>
      <c r="Y86" s="84" t="s">
        <v>1887</v>
      </c>
      <c r="Z86" s="84" t="s">
        <v>1879</v>
      </c>
      <c r="AA86" s="3" t="s">
        <v>1225</v>
      </c>
      <c r="AB86" s="8">
        <v>45800</v>
      </c>
      <c r="AC86" s="84" t="s">
        <v>1880</v>
      </c>
      <c r="AD86" s="84" t="s">
        <v>109</v>
      </c>
      <c r="AE86" s="84" t="s">
        <v>1888</v>
      </c>
      <c r="AF86" s="84" t="s">
        <v>1882</v>
      </c>
      <c r="AG86" s="87" t="s">
        <v>202</v>
      </c>
      <c r="AH86" s="87" t="s">
        <v>202</v>
      </c>
      <c r="AI86" s="3"/>
      <c r="AJ86" s="8"/>
      <c r="AK86" s="32" t="s">
        <v>61</v>
      </c>
      <c r="AL86" s="88"/>
      <c r="AM86" s="88"/>
    </row>
    <row r="87" spans="1:39" s="109" customFormat="1" ht="135" x14ac:dyDescent="0.2">
      <c r="B87" s="50"/>
      <c r="C87" s="366" t="s">
        <v>1889</v>
      </c>
      <c r="D87" s="209" t="s">
        <v>1890</v>
      </c>
      <c r="E87" s="251" t="s">
        <v>79</v>
      </c>
      <c r="F87" s="131" t="s">
        <v>1891</v>
      </c>
      <c r="G87" s="251" t="s">
        <v>258</v>
      </c>
      <c r="H87" s="205" t="s">
        <v>83</v>
      </c>
      <c r="I87" s="251"/>
      <c r="J87" s="205" t="s">
        <v>1457</v>
      </c>
      <c r="K87" s="252">
        <v>45748</v>
      </c>
      <c r="L87" s="253" t="s">
        <v>1892</v>
      </c>
      <c r="M87" s="3" t="s">
        <v>1893</v>
      </c>
      <c r="N87" s="205" t="s">
        <v>135</v>
      </c>
      <c r="O87" s="84" t="s">
        <v>1894</v>
      </c>
      <c r="P87" s="205" t="s">
        <v>1236</v>
      </c>
      <c r="Q87" s="205" t="s">
        <v>197</v>
      </c>
      <c r="R87" s="84" t="s">
        <v>1223</v>
      </c>
      <c r="S87" s="254">
        <v>45751</v>
      </c>
      <c r="T87" s="205" t="s">
        <v>1218</v>
      </c>
      <c r="U87" s="96" t="s">
        <v>1217</v>
      </c>
      <c r="V87" s="2" t="s">
        <v>1223</v>
      </c>
      <c r="W87" s="205" t="s">
        <v>1406</v>
      </c>
      <c r="X87" s="3" t="s">
        <v>1895</v>
      </c>
      <c r="Y87" s="84" t="s">
        <v>1896</v>
      </c>
      <c r="Z87" s="84" t="s">
        <v>1897</v>
      </c>
      <c r="AA87" s="3" t="s">
        <v>1225</v>
      </c>
      <c r="AB87" s="8">
        <v>45800</v>
      </c>
      <c r="AC87" s="84" t="s">
        <v>1338</v>
      </c>
      <c r="AD87" s="82" t="s">
        <v>109</v>
      </c>
      <c r="AE87" s="84" t="s">
        <v>1898</v>
      </c>
      <c r="AF87" s="84"/>
      <c r="AG87" s="6" t="s">
        <v>202</v>
      </c>
      <c r="AH87" s="205" t="s">
        <v>60</v>
      </c>
      <c r="AI87" s="205" t="s">
        <v>252</v>
      </c>
      <c r="AJ87" s="254"/>
      <c r="AK87" s="32" t="s">
        <v>61</v>
      </c>
      <c r="AL87" s="88"/>
      <c r="AM87" s="131"/>
    </row>
    <row r="88" spans="1:39" s="109" customFormat="1" ht="135" x14ac:dyDescent="0.2">
      <c r="B88" s="50"/>
      <c r="C88" s="115" t="s">
        <v>1889</v>
      </c>
      <c r="D88" s="116" t="s">
        <v>1899</v>
      </c>
      <c r="E88" s="89" t="s">
        <v>79</v>
      </c>
      <c r="F88" s="226" t="s">
        <v>1891</v>
      </c>
      <c r="G88" s="89" t="s">
        <v>258</v>
      </c>
      <c r="H88" s="90" t="s">
        <v>83</v>
      </c>
      <c r="I88" s="89"/>
      <c r="J88" s="90" t="s">
        <v>1457</v>
      </c>
      <c r="K88" s="132">
        <v>45748</v>
      </c>
      <c r="L88" s="133" t="s">
        <v>1892</v>
      </c>
      <c r="M88" s="90" t="s">
        <v>1893</v>
      </c>
      <c r="N88" s="90" t="s">
        <v>135</v>
      </c>
      <c r="O88" s="89" t="s">
        <v>1900</v>
      </c>
      <c r="P88" s="90" t="s">
        <v>1236</v>
      </c>
      <c r="Q88" s="90" t="s">
        <v>197</v>
      </c>
      <c r="R88" s="89" t="s">
        <v>1223</v>
      </c>
      <c r="S88" s="103">
        <v>45751</v>
      </c>
      <c r="T88" s="90" t="s">
        <v>1218</v>
      </c>
      <c r="U88" s="90"/>
      <c r="V88" s="2" t="s">
        <v>1223</v>
      </c>
      <c r="W88" s="90" t="s">
        <v>1406</v>
      </c>
      <c r="X88" s="6" t="s">
        <v>1895</v>
      </c>
      <c r="Y88" s="84" t="s">
        <v>1901</v>
      </c>
      <c r="Z88" s="84" t="s">
        <v>1897</v>
      </c>
      <c r="AA88" s="3" t="s">
        <v>1225</v>
      </c>
      <c r="AB88" s="8">
        <v>45800</v>
      </c>
      <c r="AC88" s="84" t="s">
        <v>1902</v>
      </c>
      <c r="AD88" s="84" t="s">
        <v>58</v>
      </c>
      <c r="AE88" s="84" t="s">
        <v>1901</v>
      </c>
      <c r="AF88" s="84"/>
      <c r="AG88" s="6" t="s">
        <v>202</v>
      </c>
      <c r="AH88" s="205" t="s">
        <v>60</v>
      </c>
      <c r="AI88" s="205" t="s">
        <v>252</v>
      </c>
      <c r="AJ88" s="254"/>
      <c r="AK88" s="32" t="s">
        <v>61</v>
      </c>
      <c r="AL88" s="88"/>
      <c r="AM88" s="131"/>
    </row>
    <row r="89" spans="1:39" s="102" customFormat="1" ht="105" x14ac:dyDescent="0.2">
      <c r="B89" s="101"/>
      <c r="C89" s="366" t="s">
        <v>1903</v>
      </c>
      <c r="D89" s="209" t="s">
        <v>1904</v>
      </c>
      <c r="E89" s="198" t="s">
        <v>255</v>
      </c>
      <c r="F89" s="211" t="s">
        <v>1905</v>
      </c>
      <c r="G89" s="198" t="s">
        <v>258</v>
      </c>
      <c r="H89" s="198" t="s">
        <v>161</v>
      </c>
      <c r="I89" s="198" t="s">
        <v>46</v>
      </c>
      <c r="J89" s="198" t="s">
        <v>1457</v>
      </c>
      <c r="K89" s="248">
        <v>45748</v>
      </c>
      <c r="L89" s="210" t="s">
        <v>1906</v>
      </c>
      <c r="M89" s="198" t="s">
        <v>1907</v>
      </c>
      <c r="N89" s="210" t="s">
        <v>263</v>
      </c>
      <c r="O89" s="198" t="s">
        <v>87</v>
      </c>
      <c r="P89" s="197" t="s">
        <v>1236</v>
      </c>
      <c r="Q89" s="198" t="s">
        <v>197</v>
      </c>
      <c r="R89" s="198" t="s">
        <v>1405</v>
      </c>
      <c r="S89" s="100"/>
      <c r="T89" s="100"/>
      <c r="U89" s="100"/>
      <c r="V89" s="200">
        <v>45873</v>
      </c>
      <c r="W89" s="198" t="s">
        <v>1908</v>
      </c>
      <c r="X89" s="198" t="s">
        <v>1583</v>
      </c>
      <c r="Y89" s="198" t="s">
        <v>1909</v>
      </c>
      <c r="Z89" s="198" t="s">
        <v>1910</v>
      </c>
      <c r="AA89" s="198" t="s">
        <v>252</v>
      </c>
      <c r="AB89" s="200">
        <v>45779</v>
      </c>
      <c r="AC89" s="198" t="s">
        <v>1911</v>
      </c>
      <c r="AD89" s="198" t="s">
        <v>58</v>
      </c>
      <c r="AE89" s="198" t="s">
        <v>1912</v>
      </c>
      <c r="AF89" s="100" t="s">
        <v>574</v>
      </c>
      <c r="AG89" s="100"/>
      <c r="AH89" s="198" t="s">
        <v>251</v>
      </c>
      <c r="AI89" s="100"/>
      <c r="AJ89" s="100"/>
      <c r="AK89" s="32" t="s">
        <v>61</v>
      </c>
      <c r="AL89" s="95"/>
      <c r="AM89" s="95"/>
    </row>
    <row r="90" spans="1:39" s="102" customFormat="1" ht="105" x14ac:dyDescent="0.2">
      <c r="B90" s="101"/>
      <c r="C90" s="366" t="s">
        <v>1913</v>
      </c>
      <c r="D90" s="209" t="s">
        <v>1914</v>
      </c>
      <c r="E90" s="198" t="s">
        <v>255</v>
      </c>
      <c r="F90" s="211" t="s">
        <v>1915</v>
      </c>
      <c r="G90" s="198" t="s">
        <v>258</v>
      </c>
      <c r="H90" s="198" t="s">
        <v>161</v>
      </c>
      <c r="I90" s="198" t="s">
        <v>46</v>
      </c>
      <c r="J90" s="198" t="s">
        <v>1457</v>
      </c>
      <c r="K90" s="248">
        <v>45748</v>
      </c>
      <c r="L90" s="210" t="s">
        <v>1916</v>
      </c>
      <c r="M90" s="198" t="s">
        <v>1917</v>
      </c>
      <c r="N90" s="198" t="s">
        <v>263</v>
      </c>
      <c r="O90" s="198" t="s">
        <v>1918</v>
      </c>
      <c r="P90" s="198"/>
      <c r="Q90" s="198"/>
      <c r="R90" s="198" t="s">
        <v>1217</v>
      </c>
      <c r="S90" s="198"/>
      <c r="T90" s="198"/>
      <c r="U90" s="198"/>
      <c r="V90" s="200">
        <v>45873</v>
      </c>
      <c r="W90" s="198"/>
      <c r="X90" s="198" t="s">
        <v>1583</v>
      </c>
      <c r="Y90" s="198" t="s">
        <v>1919</v>
      </c>
      <c r="Z90" s="198" t="s">
        <v>1920</v>
      </c>
      <c r="AA90" s="198"/>
      <c r="AB90" s="198"/>
      <c r="AC90" s="198" t="s">
        <v>1921</v>
      </c>
      <c r="AD90" s="198" t="s">
        <v>58</v>
      </c>
      <c r="AE90" s="198" t="s">
        <v>1922</v>
      </c>
      <c r="AF90" s="198" t="s">
        <v>574</v>
      </c>
      <c r="AG90" s="198"/>
      <c r="AH90" s="198" t="s">
        <v>251</v>
      </c>
      <c r="AI90" s="100"/>
      <c r="AJ90" s="100"/>
      <c r="AK90" s="32" t="s">
        <v>61</v>
      </c>
      <c r="AL90" s="95"/>
      <c r="AM90" s="95"/>
    </row>
    <row r="91" spans="1:39" s="109" customFormat="1" ht="172.5" customHeight="1" x14ac:dyDescent="0.2">
      <c r="B91" s="50" t="s">
        <v>1923</v>
      </c>
      <c r="C91" s="365" t="s">
        <v>1924</v>
      </c>
      <c r="D91" s="106" t="s">
        <v>1925</v>
      </c>
      <c r="E91" s="82" t="s">
        <v>255</v>
      </c>
      <c r="F91" s="255" t="s">
        <v>1926</v>
      </c>
      <c r="G91" s="82" t="s">
        <v>1788</v>
      </c>
      <c r="H91" s="4" t="s">
        <v>83</v>
      </c>
      <c r="I91" s="82"/>
      <c r="J91" s="4" t="s">
        <v>1457</v>
      </c>
      <c r="K91" s="256">
        <v>45751</v>
      </c>
      <c r="L91" s="166" t="s">
        <v>1927</v>
      </c>
      <c r="M91" s="3" t="s">
        <v>1928</v>
      </c>
      <c r="N91" s="3" t="s">
        <v>135</v>
      </c>
      <c r="O91" s="99" t="s">
        <v>1929</v>
      </c>
      <c r="P91" s="3" t="s">
        <v>123</v>
      </c>
      <c r="Q91" s="3" t="s">
        <v>197</v>
      </c>
      <c r="R91" s="84" t="s">
        <v>1223</v>
      </c>
      <c r="S91" s="3"/>
      <c r="T91" s="3" t="s">
        <v>1218</v>
      </c>
      <c r="U91" s="96" t="s">
        <v>1217</v>
      </c>
      <c r="V91" s="2" t="s">
        <v>1233</v>
      </c>
      <c r="W91" s="35" t="s">
        <v>135</v>
      </c>
      <c r="X91" s="3" t="s">
        <v>278</v>
      </c>
      <c r="Y91" s="84" t="s">
        <v>1930</v>
      </c>
      <c r="Z91" s="84"/>
      <c r="AA91" s="3" t="s">
        <v>252</v>
      </c>
      <c r="AB91" s="134">
        <v>45800</v>
      </c>
      <c r="AC91" s="84" t="s">
        <v>1931</v>
      </c>
      <c r="AD91" s="84" t="s">
        <v>58</v>
      </c>
      <c r="AE91" s="84" t="s">
        <v>1932</v>
      </c>
      <c r="AF91" s="84"/>
      <c r="AG91" s="3" t="s">
        <v>202</v>
      </c>
      <c r="AH91" s="3" t="s">
        <v>202</v>
      </c>
      <c r="AI91" s="3"/>
      <c r="AJ91" s="8"/>
      <c r="AK91" s="32" t="s">
        <v>61</v>
      </c>
      <c r="AL91" s="88"/>
      <c r="AM91" s="88"/>
    </row>
    <row r="92" spans="1:39" s="109" customFormat="1" ht="180" x14ac:dyDescent="0.2">
      <c r="B92" s="50"/>
      <c r="C92" s="365" t="s">
        <v>1933</v>
      </c>
      <c r="D92" s="106" t="s">
        <v>1934</v>
      </c>
      <c r="E92" s="82" t="s">
        <v>139</v>
      </c>
      <c r="F92" s="131" t="s">
        <v>643</v>
      </c>
      <c r="G92" s="82" t="s">
        <v>142</v>
      </c>
      <c r="H92" s="4" t="s">
        <v>98</v>
      </c>
      <c r="I92" s="82" t="s">
        <v>46</v>
      </c>
      <c r="J92" s="4" t="s">
        <v>99</v>
      </c>
      <c r="K92" s="127">
        <v>45754</v>
      </c>
      <c r="L92" s="128" t="s">
        <v>645</v>
      </c>
      <c r="M92" s="3" t="s">
        <v>1935</v>
      </c>
      <c r="N92" s="3" t="s">
        <v>1936</v>
      </c>
      <c r="O92" s="84" t="s">
        <v>135</v>
      </c>
      <c r="P92" s="3" t="s">
        <v>123</v>
      </c>
      <c r="Q92" s="3" t="s">
        <v>197</v>
      </c>
      <c r="R92" s="84" t="s">
        <v>1228</v>
      </c>
      <c r="S92" s="3"/>
      <c r="T92" s="3" t="s">
        <v>1218</v>
      </c>
      <c r="U92" s="96" t="s">
        <v>1217</v>
      </c>
      <c r="V92" s="2" t="s">
        <v>1223</v>
      </c>
      <c r="W92" s="35" t="s">
        <v>135</v>
      </c>
      <c r="X92" s="3" t="s">
        <v>446</v>
      </c>
      <c r="Y92" s="84" t="s">
        <v>1937</v>
      </c>
      <c r="Z92" s="84" t="s">
        <v>1938</v>
      </c>
      <c r="AA92" s="3" t="s">
        <v>1225</v>
      </c>
      <c r="AB92" s="8">
        <v>45800</v>
      </c>
      <c r="AC92" s="84" t="s">
        <v>135</v>
      </c>
      <c r="AD92" s="84" t="s">
        <v>58</v>
      </c>
      <c r="AE92" s="84" t="s">
        <v>1939</v>
      </c>
      <c r="AF92" s="86" t="s">
        <v>1940</v>
      </c>
      <c r="AG92" s="87" t="s">
        <v>202</v>
      </c>
      <c r="AH92" s="87" t="s">
        <v>202</v>
      </c>
      <c r="AI92" s="3"/>
      <c r="AJ92" s="8"/>
      <c r="AK92" s="32" t="s">
        <v>61</v>
      </c>
      <c r="AL92" s="88"/>
      <c r="AM92" s="88"/>
    </row>
    <row r="93" spans="1:39" s="109" customFormat="1" ht="140.5" customHeight="1" x14ac:dyDescent="0.2">
      <c r="A93" s="109" t="s">
        <v>1279</v>
      </c>
      <c r="B93" s="79" t="s">
        <v>1941</v>
      </c>
      <c r="C93" s="105" t="s">
        <v>253</v>
      </c>
      <c r="D93" s="106" t="s">
        <v>254</v>
      </c>
      <c r="E93" s="82" t="s">
        <v>255</v>
      </c>
      <c r="F93" s="95" t="s">
        <v>256</v>
      </c>
      <c r="G93" s="82" t="s">
        <v>258</v>
      </c>
      <c r="H93" s="4" t="s">
        <v>259</v>
      </c>
      <c r="I93" s="82" t="s">
        <v>46</v>
      </c>
      <c r="J93" s="4" t="s">
        <v>99</v>
      </c>
      <c r="K93" s="256">
        <v>45754</v>
      </c>
      <c r="L93" s="166" t="s">
        <v>261</v>
      </c>
      <c r="M93" s="3" t="s">
        <v>1942</v>
      </c>
      <c r="N93" s="4" t="s">
        <v>263</v>
      </c>
      <c r="O93" s="99" t="s">
        <v>1433</v>
      </c>
      <c r="P93" s="3" t="s">
        <v>73</v>
      </c>
      <c r="Q93" s="3" t="s">
        <v>197</v>
      </c>
      <c r="R93" s="224" t="s">
        <v>1232</v>
      </c>
      <c r="S93" s="4"/>
      <c r="T93" s="3" t="s">
        <v>89</v>
      </c>
      <c r="U93" s="4"/>
      <c r="V93" s="2"/>
      <c r="W93" s="4" t="s">
        <v>1262</v>
      </c>
      <c r="X93" s="4" t="s">
        <v>264</v>
      </c>
      <c r="Y93" s="82" t="s">
        <v>1943</v>
      </c>
      <c r="Z93" s="84" t="s">
        <v>1944</v>
      </c>
      <c r="AA93" s="4" t="s">
        <v>1225</v>
      </c>
      <c r="AB93" s="33">
        <v>45800</v>
      </c>
      <c r="AC93" s="84" t="s">
        <v>1338</v>
      </c>
      <c r="AD93" s="84" t="s">
        <v>58</v>
      </c>
      <c r="AE93" s="84" t="s">
        <v>1945</v>
      </c>
      <c r="AF93" s="82" t="s">
        <v>857</v>
      </c>
      <c r="AG93" s="3" t="s">
        <v>202</v>
      </c>
      <c r="AH93" s="4" t="s">
        <v>251</v>
      </c>
      <c r="AI93" s="4" t="s">
        <v>252</v>
      </c>
      <c r="AJ93" s="33"/>
      <c r="AK93" s="32" t="s">
        <v>61</v>
      </c>
      <c r="AL93" s="88" t="s">
        <v>1946</v>
      </c>
      <c r="AM93" s="88" t="s">
        <v>1947</v>
      </c>
    </row>
    <row r="94" spans="1:39" s="102" customFormat="1" ht="60" x14ac:dyDescent="0.2">
      <c r="B94" s="101"/>
      <c r="C94" s="105" t="s">
        <v>1948</v>
      </c>
      <c r="D94" s="106" t="s">
        <v>1949</v>
      </c>
      <c r="E94" s="4" t="s">
        <v>255</v>
      </c>
      <c r="F94" s="95"/>
      <c r="G94" s="4" t="s">
        <v>258</v>
      </c>
      <c r="H94" s="4" t="s">
        <v>98</v>
      </c>
      <c r="I94" s="4" t="s">
        <v>46</v>
      </c>
      <c r="J94" s="4" t="s">
        <v>99</v>
      </c>
      <c r="K94" s="127">
        <v>45755</v>
      </c>
      <c r="L94" s="114" t="s">
        <v>1950</v>
      </c>
      <c r="M94" s="4"/>
      <c r="N94" s="4"/>
      <c r="O94" s="4" t="s">
        <v>135</v>
      </c>
      <c r="P94" s="4"/>
      <c r="Q94" s="4"/>
      <c r="R94" s="4"/>
      <c r="S94" s="4"/>
      <c r="T94" s="4" t="s">
        <v>55</v>
      </c>
      <c r="U94" s="4"/>
      <c r="V94" s="4"/>
      <c r="W94" s="4" t="s">
        <v>1951</v>
      </c>
      <c r="X94" s="4"/>
      <c r="Y94" s="4"/>
      <c r="Z94" s="4"/>
      <c r="AA94" s="4" t="s">
        <v>1225</v>
      </c>
      <c r="AB94" s="4"/>
      <c r="AC94" s="4"/>
      <c r="AD94" s="4"/>
      <c r="AE94" s="4"/>
      <c r="AF94" s="4"/>
      <c r="AG94" s="4"/>
      <c r="AH94" s="4"/>
      <c r="AI94" s="4"/>
      <c r="AJ94" s="4"/>
      <c r="AK94" s="32" t="s">
        <v>61</v>
      </c>
      <c r="AL94" s="95"/>
      <c r="AM94" s="95"/>
    </row>
    <row r="95" spans="1:39" s="102" customFormat="1" ht="379.5" customHeight="1" x14ac:dyDescent="0.2">
      <c r="B95" s="257" t="s">
        <v>1952</v>
      </c>
      <c r="C95" s="367" t="s">
        <v>1953</v>
      </c>
      <c r="D95" s="138" t="s">
        <v>1954</v>
      </c>
      <c r="E95" s="3" t="s">
        <v>1955</v>
      </c>
      <c r="F95" s="258" t="s">
        <v>1956</v>
      </c>
      <c r="G95" s="3" t="s">
        <v>258</v>
      </c>
      <c r="H95" s="3" t="s">
        <v>98</v>
      </c>
      <c r="I95" s="3" t="s">
        <v>46</v>
      </c>
      <c r="J95" s="3" t="s">
        <v>99</v>
      </c>
      <c r="K95" s="139">
        <v>45761</v>
      </c>
      <c r="L95" s="259" t="s">
        <v>1957</v>
      </c>
      <c r="M95" s="3" t="s">
        <v>1958</v>
      </c>
      <c r="N95" s="205" t="s">
        <v>842</v>
      </c>
      <c r="O95" s="214" t="s">
        <v>1959</v>
      </c>
      <c r="P95" s="3" t="s">
        <v>1236</v>
      </c>
      <c r="Q95" s="3" t="s">
        <v>197</v>
      </c>
      <c r="R95" s="214" t="s">
        <v>1336</v>
      </c>
      <c r="S95" s="8">
        <v>45751</v>
      </c>
      <c r="T95" s="214" t="s">
        <v>89</v>
      </c>
      <c r="U95" s="100" t="s">
        <v>1461</v>
      </c>
      <c r="V95" s="2" t="s">
        <v>1233</v>
      </c>
      <c r="W95" s="1" t="s">
        <v>1960</v>
      </c>
      <c r="X95" s="3" t="s">
        <v>126</v>
      </c>
      <c r="Y95" s="214" t="s">
        <v>1961</v>
      </c>
      <c r="Z95" s="3" t="s">
        <v>1962</v>
      </c>
      <c r="AA95" s="3" t="s">
        <v>1225</v>
      </c>
      <c r="AB95" s="8">
        <v>45800</v>
      </c>
      <c r="AC95" s="6" t="s">
        <v>1507</v>
      </c>
      <c r="AD95" s="6" t="s">
        <v>109</v>
      </c>
      <c r="AE95" s="260" t="s">
        <v>1963</v>
      </c>
      <c r="AF95" s="3"/>
      <c r="AG95" s="3"/>
      <c r="AH95" s="3" t="s">
        <v>60</v>
      </c>
      <c r="AI95" s="3" t="s">
        <v>252</v>
      </c>
      <c r="AJ95" s="8">
        <v>45800</v>
      </c>
      <c r="AK95" s="32" t="s">
        <v>61</v>
      </c>
      <c r="AL95" s="95"/>
      <c r="AM95" s="95"/>
    </row>
    <row r="96" spans="1:39" s="102" customFormat="1" ht="45" x14ac:dyDescent="0.2">
      <c r="B96" s="101"/>
      <c r="C96" s="105" t="s">
        <v>1964</v>
      </c>
      <c r="D96" s="106" t="s">
        <v>1965</v>
      </c>
      <c r="E96" s="4" t="s">
        <v>1966</v>
      </c>
      <c r="F96" s="95"/>
      <c r="G96" s="4" t="s">
        <v>258</v>
      </c>
      <c r="H96" s="4" t="s">
        <v>98</v>
      </c>
      <c r="I96" s="4" t="s">
        <v>46</v>
      </c>
      <c r="J96" s="4" t="s">
        <v>99</v>
      </c>
      <c r="K96" s="127">
        <v>45762</v>
      </c>
      <c r="L96" s="114" t="s">
        <v>1967</v>
      </c>
      <c r="M96" s="4"/>
      <c r="N96" s="4"/>
      <c r="O96" s="4" t="s">
        <v>135</v>
      </c>
      <c r="P96" s="4"/>
      <c r="Q96" s="4"/>
      <c r="R96" s="4"/>
      <c r="S96" s="4"/>
      <c r="T96" s="4" t="s">
        <v>55</v>
      </c>
      <c r="U96" s="4"/>
      <c r="V96" s="4"/>
      <c r="W96" s="4" t="s">
        <v>1968</v>
      </c>
      <c r="X96" s="4"/>
      <c r="Y96" s="4"/>
      <c r="Z96" s="4"/>
      <c r="AA96" s="4" t="s">
        <v>1225</v>
      </c>
      <c r="AB96" s="4"/>
      <c r="AC96" s="4"/>
      <c r="AD96" s="4"/>
      <c r="AE96" s="4"/>
      <c r="AF96" s="4"/>
      <c r="AG96" s="4"/>
      <c r="AH96" s="4"/>
      <c r="AI96" s="4"/>
      <c r="AJ96" s="4"/>
      <c r="AK96" s="32" t="s">
        <v>61</v>
      </c>
      <c r="AL96" s="95"/>
      <c r="AM96" s="95"/>
    </row>
    <row r="97" spans="2:41" s="109" customFormat="1" ht="224.25" customHeight="1" x14ac:dyDescent="0.2">
      <c r="B97" s="261"/>
      <c r="C97" s="365" t="s">
        <v>1969</v>
      </c>
      <c r="D97" s="106" t="s">
        <v>1970</v>
      </c>
      <c r="E97" s="82" t="s">
        <v>255</v>
      </c>
      <c r="F97" s="131" t="s">
        <v>1971</v>
      </c>
      <c r="G97" s="82" t="s">
        <v>258</v>
      </c>
      <c r="H97" s="4" t="s">
        <v>98</v>
      </c>
      <c r="I97" s="82" t="s">
        <v>46</v>
      </c>
      <c r="J97" s="4" t="s">
        <v>99</v>
      </c>
      <c r="K97" s="140">
        <v>45762</v>
      </c>
      <c r="L97" s="141" t="s">
        <v>1972</v>
      </c>
      <c r="M97" s="3" t="s">
        <v>1973</v>
      </c>
      <c r="N97" s="3" t="s">
        <v>135</v>
      </c>
      <c r="O97" s="99" t="s">
        <v>135</v>
      </c>
      <c r="P97" s="3" t="s">
        <v>123</v>
      </c>
      <c r="Q97" s="3" t="s">
        <v>197</v>
      </c>
      <c r="R97" s="84" t="s">
        <v>1223</v>
      </c>
      <c r="S97" s="3"/>
      <c r="T97" s="3" t="s">
        <v>1218</v>
      </c>
      <c r="U97" s="96" t="s">
        <v>1217</v>
      </c>
      <c r="V97" s="2" t="s">
        <v>1223</v>
      </c>
      <c r="W97" s="35" t="s">
        <v>135</v>
      </c>
      <c r="X97" s="3" t="s">
        <v>1583</v>
      </c>
      <c r="Y97" s="99" t="s">
        <v>1974</v>
      </c>
      <c r="Z97" s="84" t="s">
        <v>1975</v>
      </c>
      <c r="AA97" s="3" t="s">
        <v>1225</v>
      </c>
      <c r="AB97" s="8">
        <v>45800</v>
      </c>
      <c r="AC97" s="84" t="s">
        <v>1338</v>
      </c>
      <c r="AD97" s="84" t="s">
        <v>58</v>
      </c>
      <c r="AE97" s="99" t="s">
        <v>1976</v>
      </c>
      <c r="AF97" s="86" t="s">
        <v>574</v>
      </c>
      <c r="AG97" s="87" t="s">
        <v>202</v>
      </c>
      <c r="AH97" s="87" t="s">
        <v>202</v>
      </c>
      <c r="AI97" s="3"/>
      <c r="AJ97" s="8"/>
      <c r="AK97" s="32" t="s">
        <v>61</v>
      </c>
      <c r="AL97" s="88"/>
      <c r="AM97" s="88"/>
    </row>
    <row r="98" spans="2:41" s="109" customFormat="1" ht="255" x14ac:dyDescent="0.2">
      <c r="B98" s="50"/>
      <c r="C98" s="365" t="s">
        <v>1977</v>
      </c>
      <c r="D98" s="106" t="s">
        <v>1978</v>
      </c>
      <c r="E98" s="82" t="s">
        <v>255</v>
      </c>
      <c r="F98" s="131" t="s">
        <v>1979</v>
      </c>
      <c r="G98" s="82" t="s">
        <v>258</v>
      </c>
      <c r="H98" s="4" t="s">
        <v>98</v>
      </c>
      <c r="I98" s="82" t="s">
        <v>46</v>
      </c>
      <c r="J98" s="4" t="s">
        <v>99</v>
      </c>
      <c r="K98" s="127">
        <v>45762</v>
      </c>
      <c r="L98" s="128" t="s">
        <v>1980</v>
      </c>
      <c r="M98" s="3" t="s">
        <v>1981</v>
      </c>
      <c r="N98" s="3" t="s">
        <v>135</v>
      </c>
      <c r="O98" s="99" t="s">
        <v>135</v>
      </c>
      <c r="P98" s="3" t="s">
        <v>123</v>
      </c>
      <c r="Q98" s="3" t="s">
        <v>197</v>
      </c>
      <c r="R98" s="84" t="s">
        <v>1223</v>
      </c>
      <c r="S98" s="3"/>
      <c r="T98" s="3" t="s">
        <v>1218</v>
      </c>
      <c r="U98" s="96" t="s">
        <v>1217</v>
      </c>
      <c r="V98" s="2" t="s">
        <v>1223</v>
      </c>
      <c r="W98" s="35" t="s">
        <v>135</v>
      </c>
      <c r="X98" s="6" t="s">
        <v>1583</v>
      </c>
      <c r="Y98" s="84" t="s">
        <v>1982</v>
      </c>
      <c r="Z98" s="84" t="s">
        <v>1983</v>
      </c>
      <c r="AA98" s="3" t="s">
        <v>1225</v>
      </c>
      <c r="AB98" s="8">
        <v>45800</v>
      </c>
      <c r="AC98" s="84" t="s">
        <v>1338</v>
      </c>
      <c r="AD98" s="84" t="s">
        <v>109</v>
      </c>
      <c r="AE98" s="84" t="s">
        <v>1984</v>
      </c>
      <c r="AF98" s="86" t="s">
        <v>574</v>
      </c>
      <c r="AG98" s="87" t="s">
        <v>202</v>
      </c>
      <c r="AH98" s="87" t="s">
        <v>202</v>
      </c>
      <c r="AI98" s="3"/>
      <c r="AJ98" s="8"/>
      <c r="AK98" s="32" t="s">
        <v>61</v>
      </c>
      <c r="AL98" s="88"/>
      <c r="AM98" s="88"/>
    </row>
    <row r="99" spans="2:41" s="109" customFormat="1" ht="165" x14ac:dyDescent="0.2">
      <c r="B99" s="50"/>
      <c r="C99" s="365" t="s">
        <v>1985</v>
      </c>
      <c r="D99" s="106" t="s">
        <v>1986</v>
      </c>
      <c r="E99" s="82" t="s">
        <v>1987</v>
      </c>
      <c r="F99" s="131" t="s">
        <v>1988</v>
      </c>
      <c r="G99" s="82" t="s">
        <v>258</v>
      </c>
      <c r="H99" s="4" t="s">
        <v>98</v>
      </c>
      <c r="I99" s="82" t="s">
        <v>46</v>
      </c>
      <c r="J99" s="4" t="s">
        <v>99</v>
      </c>
      <c r="K99" s="127">
        <v>45762</v>
      </c>
      <c r="L99" s="128" t="s">
        <v>1989</v>
      </c>
      <c r="M99" s="3" t="s">
        <v>1990</v>
      </c>
      <c r="N99" s="3" t="s">
        <v>135</v>
      </c>
      <c r="O99" s="99" t="s">
        <v>1991</v>
      </c>
      <c r="P99" s="3" t="s">
        <v>123</v>
      </c>
      <c r="Q99" s="3" t="s">
        <v>197</v>
      </c>
      <c r="R99" s="84" t="s">
        <v>1223</v>
      </c>
      <c r="S99" s="3"/>
      <c r="T99" s="3" t="s">
        <v>1218</v>
      </c>
      <c r="U99" s="227" t="s">
        <v>1217</v>
      </c>
      <c r="V99" s="2" t="s">
        <v>1223</v>
      </c>
      <c r="W99" s="35" t="s">
        <v>135</v>
      </c>
      <c r="X99" s="3" t="s">
        <v>126</v>
      </c>
      <c r="Y99" s="84" t="s">
        <v>1992</v>
      </c>
      <c r="Z99" s="84" t="s">
        <v>1993</v>
      </c>
      <c r="AA99" s="3" t="s">
        <v>1225</v>
      </c>
      <c r="AB99" s="8">
        <v>45800</v>
      </c>
      <c r="AC99" s="84" t="s">
        <v>1507</v>
      </c>
      <c r="AD99" s="84" t="s">
        <v>109</v>
      </c>
      <c r="AE99" s="84" t="s">
        <v>1994</v>
      </c>
      <c r="AF99" s="84" t="s">
        <v>574</v>
      </c>
      <c r="AG99" s="87" t="s">
        <v>202</v>
      </c>
      <c r="AH99" s="87" t="s">
        <v>202</v>
      </c>
      <c r="AI99" s="3"/>
      <c r="AJ99" s="8"/>
      <c r="AK99" s="32" t="s">
        <v>61</v>
      </c>
      <c r="AL99" s="88"/>
      <c r="AM99" s="88"/>
    </row>
    <row r="100" spans="2:41" s="102" customFormat="1" ht="30" x14ac:dyDescent="0.2">
      <c r="B100" s="101"/>
      <c r="C100" s="365" t="s">
        <v>1995</v>
      </c>
      <c r="D100" s="106" t="s">
        <v>1996</v>
      </c>
      <c r="E100" s="4" t="s">
        <v>1245</v>
      </c>
      <c r="F100" s="95"/>
      <c r="G100" s="4" t="s">
        <v>44</v>
      </c>
      <c r="H100" s="4" t="s">
        <v>83</v>
      </c>
      <c r="I100" s="4"/>
      <c r="J100" s="4" t="s">
        <v>1457</v>
      </c>
      <c r="K100" s="127">
        <v>45763</v>
      </c>
      <c r="L100" s="114" t="s">
        <v>1997</v>
      </c>
      <c r="M100" s="4"/>
      <c r="N100" s="4"/>
      <c r="O100" s="4" t="s">
        <v>135</v>
      </c>
      <c r="P100" s="4"/>
      <c r="Q100" s="4"/>
      <c r="R100" s="4" t="s">
        <v>1217</v>
      </c>
      <c r="S100" s="4"/>
      <c r="T100" s="4"/>
      <c r="U100" s="4"/>
      <c r="V100" s="4"/>
      <c r="W100" s="4"/>
      <c r="X100" s="4"/>
      <c r="Y100" s="4"/>
      <c r="Z100" s="4"/>
      <c r="AA100" s="4" t="s">
        <v>1225</v>
      </c>
      <c r="AB100" s="4"/>
      <c r="AC100" s="4"/>
      <c r="AD100" s="4"/>
      <c r="AE100" s="4"/>
      <c r="AF100" s="4"/>
      <c r="AG100" s="4"/>
      <c r="AH100" s="4"/>
      <c r="AI100" s="4"/>
      <c r="AJ100" s="4"/>
      <c r="AK100" s="32" t="s">
        <v>61</v>
      </c>
      <c r="AL100" s="95"/>
      <c r="AM100" s="95"/>
    </row>
    <row r="101" spans="2:41" s="102" customFormat="1" ht="90" x14ac:dyDescent="0.2">
      <c r="B101" s="101"/>
      <c r="C101" s="105" t="s">
        <v>1998</v>
      </c>
      <c r="D101" s="106" t="s">
        <v>1999</v>
      </c>
      <c r="E101" s="4" t="s">
        <v>255</v>
      </c>
      <c r="F101" s="95"/>
      <c r="G101" s="4" t="s">
        <v>258</v>
      </c>
      <c r="H101" s="4" t="s">
        <v>98</v>
      </c>
      <c r="I101" s="4" t="s">
        <v>46</v>
      </c>
      <c r="J101" s="4" t="s">
        <v>99</v>
      </c>
      <c r="K101" s="127">
        <v>45765</v>
      </c>
      <c r="L101" s="245" t="s">
        <v>2000</v>
      </c>
      <c r="M101" s="4"/>
      <c r="N101" s="4"/>
      <c r="O101" s="4" t="s">
        <v>135</v>
      </c>
      <c r="P101" s="4"/>
      <c r="Q101" s="4"/>
      <c r="R101" s="4"/>
      <c r="S101" s="4"/>
      <c r="T101" s="4" t="s">
        <v>55</v>
      </c>
      <c r="U101" s="4"/>
      <c r="V101" s="4"/>
      <c r="W101" s="3" t="s">
        <v>2001</v>
      </c>
      <c r="X101" s="4"/>
      <c r="Y101" s="4"/>
      <c r="Z101" s="4"/>
      <c r="AA101" s="4" t="s">
        <v>1225</v>
      </c>
      <c r="AB101" s="4"/>
      <c r="AC101" s="4"/>
      <c r="AD101" s="4"/>
      <c r="AE101" s="4"/>
      <c r="AF101" s="4"/>
      <c r="AG101" s="4"/>
      <c r="AH101" s="4"/>
      <c r="AI101" s="4"/>
      <c r="AJ101" s="4"/>
      <c r="AK101" s="32" t="s">
        <v>61</v>
      </c>
      <c r="AL101" s="95"/>
      <c r="AM101" s="95"/>
    </row>
    <row r="102" spans="2:41" s="109" customFormat="1" ht="150" x14ac:dyDescent="0.2">
      <c r="B102" s="50"/>
      <c r="C102" s="365" t="s">
        <v>2002</v>
      </c>
      <c r="D102" s="106" t="s">
        <v>2003</v>
      </c>
      <c r="E102" s="82" t="s">
        <v>255</v>
      </c>
      <c r="F102" s="131" t="s">
        <v>2004</v>
      </c>
      <c r="G102" s="82" t="s">
        <v>258</v>
      </c>
      <c r="H102" s="4" t="s">
        <v>98</v>
      </c>
      <c r="I102" s="82" t="s">
        <v>46</v>
      </c>
      <c r="J102" s="4" t="s">
        <v>99</v>
      </c>
      <c r="K102" s="127">
        <v>45765</v>
      </c>
      <c r="L102" s="128" t="s">
        <v>2005</v>
      </c>
      <c r="M102" s="3" t="s">
        <v>2006</v>
      </c>
      <c r="N102" s="3" t="s">
        <v>135</v>
      </c>
      <c r="O102" s="84" t="s">
        <v>135</v>
      </c>
      <c r="P102" s="3" t="s">
        <v>123</v>
      </c>
      <c r="Q102" s="3" t="s">
        <v>197</v>
      </c>
      <c r="R102" s="84" t="s">
        <v>1223</v>
      </c>
      <c r="S102" s="3"/>
      <c r="T102" s="3" t="s">
        <v>1218</v>
      </c>
      <c r="U102" s="96" t="s">
        <v>1217</v>
      </c>
      <c r="V102" s="2" t="s">
        <v>1223</v>
      </c>
      <c r="W102" s="35" t="s">
        <v>135</v>
      </c>
      <c r="X102" s="3" t="s">
        <v>1583</v>
      </c>
      <c r="Y102" s="84" t="s">
        <v>2007</v>
      </c>
      <c r="Z102" s="84" t="s">
        <v>2008</v>
      </c>
      <c r="AA102" s="3" t="s">
        <v>1225</v>
      </c>
      <c r="AB102" s="8">
        <v>45800</v>
      </c>
      <c r="AC102" s="84" t="s">
        <v>1338</v>
      </c>
      <c r="AD102" s="84" t="s">
        <v>58</v>
      </c>
      <c r="AE102" s="84" t="s">
        <v>2009</v>
      </c>
      <c r="AF102" s="83" t="s">
        <v>574</v>
      </c>
      <c r="AG102" s="87" t="s">
        <v>202</v>
      </c>
      <c r="AH102" s="87" t="s">
        <v>202</v>
      </c>
      <c r="AI102" s="3"/>
      <c r="AJ102" s="8"/>
      <c r="AK102" s="32" t="s">
        <v>61</v>
      </c>
      <c r="AL102" s="88"/>
      <c r="AM102" s="88"/>
    </row>
    <row r="103" spans="2:41" s="109" customFormat="1" ht="150" x14ac:dyDescent="0.2">
      <c r="B103" s="50"/>
      <c r="C103" s="105" t="s">
        <v>2010</v>
      </c>
      <c r="D103" s="106" t="s">
        <v>2011</v>
      </c>
      <c r="E103" s="82" t="s">
        <v>255</v>
      </c>
      <c r="F103" s="125" t="s">
        <v>2012</v>
      </c>
      <c r="G103" s="82" t="s">
        <v>82</v>
      </c>
      <c r="H103" s="4" t="s">
        <v>285</v>
      </c>
      <c r="I103" s="82" t="s">
        <v>46</v>
      </c>
      <c r="J103" s="4" t="s">
        <v>99</v>
      </c>
      <c r="K103" s="127">
        <v>45789</v>
      </c>
      <c r="L103" s="128" t="s">
        <v>2013</v>
      </c>
      <c r="M103" s="3" t="s">
        <v>2014</v>
      </c>
      <c r="N103" s="4" t="s">
        <v>842</v>
      </c>
      <c r="O103" s="82" t="s">
        <v>135</v>
      </c>
      <c r="P103" s="3" t="s">
        <v>123</v>
      </c>
      <c r="Q103" s="3" t="s">
        <v>197</v>
      </c>
      <c r="R103" s="99" t="s">
        <v>1223</v>
      </c>
      <c r="S103" s="246"/>
      <c r="T103" s="246" t="s">
        <v>55</v>
      </c>
      <c r="U103" s="4"/>
      <c r="V103" s="246"/>
      <c r="W103" s="214" t="s">
        <v>2015</v>
      </c>
      <c r="X103" s="214" t="s">
        <v>1583</v>
      </c>
      <c r="Y103" s="99" t="s">
        <v>2016</v>
      </c>
      <c r="Z103" s="99" t="s">
        <v>2017</v>
      </c>
      <c r="AA103" s="214" t="s">
        <v>252</v>
      </c>
      <c r="AB103" s="262">
        <v>45814</v>
      </c>
      <c r="AC103" s="99" t="s">
        <v>1338</v>
      </c>
      <c r="AD103" s="99" t="s">
        <v>58</v>
      </c>
      <c r="AE103" s="99" t="s">
        <v>2018</v>
      </c>
      <c r="AF103" s="99" t="s">
        <v>574</v>
      </c>
      <c r="AG103" s="4"/>
      <c r="AH103" s="4"/>
      <c r="AI103" s="4"/>
      <c r="AJ103" s="4"/>
      <c r="AK103" s="32" t="s">
        <v>61</v>
      </c>
      <c r="AL103" s="88" t="s">
        <v>2019</v>
      </c>
      <c r="AM103" s="88" t="s">
        <v>2020</v>
      </c>
    </row>
    <row r="104" spans="2:41" s="108" customFormat="1" ht="150" customHeight="1" x14ac:dyDescent="0.2">
      <c r="B104" s="261"/>
      <c r="C104" s="367" t="s">
        <v>2021</v>
      </c>
      <c r="D104" s="138" t="s">
        <v>2022</v>
      </c>
      <c r="E104" s="84" t="s">
        <v>255</v>
      </c>
      <c r="F104" s="131" t="s">
        <v>2023</v>
      </c>
      <c r="G104" s="84" t="s">
        <v>97</v>
      </c>
      <c r="H104" s="3" t="s">
        <v>285</v>
      </c>
      <c r="I104" s="84" t="s">
        <v>46</v>
      </c>
      <c r="J104" s="6" t="s">
        <v>99</v>
      </c>
      <c r="K104" s="139">
        <v>45789</v>
      </c>
      <c r="L104" s="131" t="s">
        <v>2024</v>
      </c>
      <c r="M104" s="3" t="s">
        <v>2025</v>
      </c>
      <c r="N104" s="3" t="s">
        <v>2026</v>
      </c>
      <c r="O104" s="99" t="s">
        <v>1929</v>
      </c>
      <c r="P104" s="3" t="s">
        <v>123</v>
      </c>
      <c r="Q104" s="3" t="s">
        <v>197</v>
      </c>
      <c r="R104" s="84" t="s">
        <v>1223</v>
      </c>
      <c r="S104" s="3"/>
      <c r="T104" s="3" t="s">
        <v>1218</v>
      </c>
      <c r="U104" s="96" t="s">
        <v>1217</v>
      </c>
      <c r="V104" s="2" t="s">
        <v>1223</v>
      </c>
      <c r="W104" s="35" t="s">
        <v>135</v>
      </c>
      <c r="X104" s="3" t="s">
        <v>513</v>
      </c>
      <c r="Y104" s="99" t="s">
        <v>2027</v>
      </c>
      <c r="Z104" s="84" t="s">
        <v>2028</v>
      </c>
      <c r="AA104" s="3" t="s">
        <v>1225</v>
      </c>
      <c r="AB104" s="8">
        <v>45800</v>
      </c>
      <c r="AC104" s="84" t="s">
        <v>1300</v>
      </c>
      <c r="AD104" s="84" t="s">
        <v>58</v>
      </c>
      <c r="AE104" s="84" t="s">
        <v>2029</v>
      </c>
      <c r="AF104" s="83" t="s">
        <v>574</v>
      </c>
      <c r="AG104" s="87" t="s">
        <v>202</v>
      </c>
      <c r="AH104" s="87" t="s">
        <v>202</v>
      </c>
      <c r="AI104" s="3"/>
      <c r="AJ104" s="8"/>
      <c r="AK104" s="32" t="s">
        <v>61</v>
      </c>
      <c r="AL104" s="88"/>
      <c r="AM104" s="88"/>
    </row>
    <row r="105" spans="2:41" s="108" customFormat="1" ht="229.5" x14ac:dyDescent="0.2">
      <c r="B105" s="50"/>
      <c r="C105" s="367" t="s">
        <v>2030</v>
      </c>
      <c r="D105" s="138" t="s">
        <v>2031</v>
      </c>
      <c r="E105" s="84" t="s">
        <v>255</v>
      </c>
      <c r="F105" s="131" t="s">
        <v>2032</v>
      </c>
      <c r="G105" s="84" t="s">
        <v>271</v>
      </c>
      <c r="H105" s="3" t="s">
        <v>272</v>
      </c>
      <c r="I105" s="84" t="s">
        <v>46</v>
      </c>
      <c r="J105" s="3" t="s">
        <v>99</v>
      </c>
      <c r="K105" s="139">
        <v>45789</v>
      </c>
      <c r="L105" s="263" t="s">
        <v>2033</v>
      </c>
      <c r="M105" s="3" t="s">
        <v>2034</v>
      </c>
      <c r="N105" s="3" t="s">
        <v>2035</v>
      </c>
      <c r="O105" s="99" t="s">
        <v>2036</v>
      </c>
      <c r="P105" s="3" t="s">
        <v>123</v>
      </c>
      <c r="Q105" s="3" t="s">
        <v>197</v>
      </c>
      <c r="R105" s="84" t="s">
        <v>1223</v>
      </c>
      <c r="S105" s="3"/>
      <c r="T105" s="3" t="s">
        <v>1218</v>
      </c>
      <c r="U105" s="96" t="s">
        <v>1217</v>
      </c>
      <c r="V105" s="2" t="s">
        <v>1223</v>
      </c>
      <c r="W105" s="35" t="s">
        <v>135</v>
      </c>
      <c r="X105" s="3" t="s">
        <v>278</v>
      </c>
      <c r="Y105" s="84" t="s">
        <v>2037</v>
      </c>
      <c r="Z105" s="84" t="s">
        <v>2038</v>
      </c>
      <c r="AA105" s="3" t="s">
        <v>1225</v>
      </c>
      <c r="AB105" s="8">
        <v>45800</v>
      </c>
      <c r="AC105" s="84" t="s">
        <v>2039</v>
      </c>
      <c r="AD105" s="84" t="s">
        <v>58</v>
      </c>
      <c r="AE105" s="83" t="s">
        <v>2040</v>
      </c>
      <c r="AF105" s="86" t="s">
        <v>441</v>
      </c>
      <c r="AG105" s="87" t="s">
        <v>202</v>
      </c>
      <c r="AH105" s="87" t="s">
        <v>202</v>
      </c>
      <c r="AI105" s="3"/>
      <c r="AJ105" s="8"/>
      <c r="AK105" s="32" t="s">
        <v>61</v>
      </c>
      <c r="AL105" s="88"/>
      <c r="AM105" s="131"/>
      <c r="AO105" s="108" t="s">
        <v>1502</v>
      </c>
    </row>
    <row r="106" spans="2:41" s="102" customFormat="1" ht="150" x14ac:dyDescent="0.2">
      <c r="B106" s="101"/>
      <c r="C106" s="105" t="s">
        <v>2041</v>
      </c>
      <c r="D106" s="106" t="s">
        <v>2042</v>
      </c>
      <c r="E106" s="100" t="s">
        <v>255</v>
      </c>
      <c r="F106" s="136" t="s">
        <v>2043</v>
      </c>
      <c r="G106" s="100" t="s">
        <v>271</v>
      </c>
      <c r="H106" s="100" t="s">
        <v>510</v>
      </c>
      <c r="I106" s="100" t="s">
        <v>46</v>
      </c>
      <c r="J106" s="100" t="s">
        <v>99</v>
      </c>
      <c r="K106" s="140">
        <v>45797</v>
      </c>
      <c r="L106" s="245" t="s">
        <v>2044</v>
      </c>
      <c r="M106" s="264" t="s">
        <v>2045</v>
      </c>
      <c r="N106" s="100"/>
      <c r="O106" s="100" t="s">
        <v>135</v>
      </c>
      <c r="P106" s="100"/>
      <c r="Q106" s="100"/>
      <c r="R106" s="100"/>
      <c r="S106" s="100"/>
      <c r="T106" s="100" t="s">
        <v>55</v>
      </c>
      <c r="U106" s="100"/>
      <c r="V106" s="100"/>
      <c r="W106" s="100" t="s">
        <v>2046</v>
      </c>
      <c r="X106" s="100"/>
      <c r="Y106" s="100"/>
      <c r="Z106" s="100"/>
      <c r="AA106" s="100"/>
      <c r="AB106" s="100"/>
      <c r="AC106" s="100"/>
      <c r="AD106" s="100"/>
      <c r="AE106" s="100"/>
      <c r="AF106" s="100"/>
      <c r="AG106" s="100"/>
      <c r="AH106" s="100"/>
      <c r="AI106" s="100"/>
      <c r="AJ106" s="100"/>
      <c r="AK106" s="32" t="s">
        <v>61</v>
      </c>
      <c r="AL106" s="95"/>
      <c r="AM106" s="95"/>
    </row>
    <row r="107" spans="2:41" s="108" customFormat="1" ht="195" x14ac:dyDescent="0.2">
      <c r="B107" s="50"/>
      <c r="C107" s="137" t="s">
        <v>267</v>
      </c>
      <c r="D107" s="138" t="s">
        <v>1298</v>
      </c>
      <c r="E107" s="84" t="s">
        <v>255</v>
      </c>
      <c r="F107" s="131" t="s">
        <v>269</v>
      </c>
      <c r="G107" s="84" t="s">
        <v>271</v>
      </c>
      <c r="H107" s="3" t="s">
        <v>272</v>
      </c>
      <c r="I107" s="84" t="s">
        <v>46</v>
      </c>
      <c r="J107" s="3" t="s">
        <v>99</v>
      </c>
      <c r="K107" s="139">
        <v>45800</v>
      </c>
      <c r="L107" s="131" t="s">
        <v>273</v>
      </c>
      <c r="M107" s="135" t="s">
        <v>274</v>
      </c>
      <c r="N107" s="3" t="s">
        <v>275</v>
      </c>
      <c r="O107" s="84" t="s">
        <v>276</v>
      </c>
      <c r="P107" s="6" t="s">
        <v>123</v>
      </c>
      <c r="Q107" s="6" t="s">
        <v>197</v>
      </c>
      <c r="R107" s="99" t="s">
        <v>1261</v>
      </c>
      <c r="S107" s="3"/>
      <c r="T107" s="3" t="s">
        <v>89</v>
      </c>
      <c r="U107" s="96"/>
      <c r="V107" s="2"/>
      <c r="W107" s="35" t="s">
        <v>135</v>
      </c>
      <c r="X107" s="3" t="s">
        <v>278</v>
      </c>
      <c r="Y107" s="142" t="s">
        <v>279</v>
      </c>
      <c r="Z107" s="84" t="s">
        <v>1299</v>
      </c>
      <c r="AA107" s="3" t="s">
        <v>1225</v>
      </c>
      <c r="AB107" s="8">
        <v>45800</v>
      </c>
      <c r="AC107" s="84" t="s">
        <v>1300</v>
      </c>
      <c r="AD107" s="84" t="s">
        <v>58</v>
      </c>
      <c r="AE107" s="142" t="s">
        <v>1301</v>
      </c>
      <c r="AF107" s="83" t="s">
        <v>574</v>
      </c>
      <c r="AG107" s="87" t="s">
        <v>202</v>
      </c>
      <c r="AH107" s="87" t="s">
        <v>202</v>
      </c>
      <c r="AI107" s="3"/>
      <c r="AJ107" s="8"/>
      <c r="AK107" s="32" t="s">
        <v>61</v>
      </c>
      <c r="AL107" s="88" t="s">
        <v>1302</v>
      </c>
      <c r="AM107" s="88" t="s">
        <v>1303</v>
      </c>
    </row>
    <row r="108" spans="2:41" s="108" customFormat="1" ht="185.25" customHeight="1" x14ac:dyDescent="0.2">
      <c r="B108" s="213"/>
      <c r="C108" s="374" t="s">
        <v>2047</v>
      </c>
      <c r="D108" s="138" t="s">
        <v>2048</v>
      </c>
      <c r="E108" s="83" t="s">
        <v>446</v>
      </c>
      <c r="F108" s="131" t="s">
        <v>2049</v>
      </c>
      <c r="G108" s="84" t="s">
        <v>271</v>
      </c>
      <c r="H108" s="3" t="s">
        <v>45</v>
      </c>
      <c r="I108" s="84" t="s">
        <v>46</v>
      </c>
      <c r="J108" s="3" t="s">
        <v>99</v>
      </c>
      <c r="K108" s="139">
        <v>45800</v>
      </c>
      <c r="L108" s="131" t="s">
        <v>2050</v>
      </c>
      <c r="M108" s="135" t="s">
        <v>2051</v>
      </c>
      <c r="N108" s="3" t="s">
        <v>2052</v>
      </c>
      <c r="O108" s="99" t="s">
        <v>135</v>
      </c>
      <c r="P108" s="6" t="s">
        <v>73</v>
      </c>
      <c r="Q108" s="6" t="s">
        <v>197</v>
      </c>
      <c r="R108" s="84" t="s">
        <v>1223</v>
      </c>
      <c r="S108" s="3"/>
      <c r="T108" s="3" t="s">
        <v>1218</v>
      </c>
      <c r="U108" s="96" t="s">
        <v>1217</v>
      </c>
      <c r="V108" s="2" t="s">
        <v>1223</v>
      </c>
      <c r="W108" s="35" t="s">
        <v>135</v>
      </c>
      <c r="X108" s="3" t="s">
        <v>446</v>
      </c>
      <c r="Y108" s="143" t="s">
        <v>2053</v>
      </c>
      <c r="Z108" s="84" t="s">
        <v>2054</v>
      </c>
      <c r="AA108" s="3" t="s">
        <v>1225</v>
      </c>
      <c r="AB108" s="8">
        <v>45800</v>
      </c>
      <c r="AC108" s="84" t="s">
        <v>2055</v>
      </c>
      <c r="AD108" s="84" t="s">
        <v>109</v>
      </c>
      <c r="AE108" s="142" t="s">
        <v>2056</v>
      </c>
      <c r="AF108" s="86" t="s">
        <v>441</v>
      </c>
      <c r="AG108" s="87" t="s">
        <v>202</v>
      </c>
      <c r="AH108" s="87" t="s">
        <v>202</v>
      </c>
      <c r="AI108" s="3"/>
      <c r="AJ108" s="8"/>
      <c r="AK108" s="32" t="s">
        <v>61</v>
      </c>
      <c r="AL108" s="88"/>
      <c r="AM108" s="88"/>
      <c r="AO108" s="108" t="s">
        <v>1279</v>
      </c>
    </row>
    <row r="109" spans="2:41" s="108" customFormat="1" ht="345" customHeight="1" x14ac:dyDescent="0.2">
      <c r="B109" s="213" t="s">
        <v>2057</v>
      </c>
      <c r="C109" s="359" t="s">
        <v>2058</v>
      </c>
      <c r="D109" s="116" t="s">
        <v>2059</v>
      </c>
      <c r="E109" s="89" t="s">
        <v>446</v>
      </c>
      <c r="F109" s="226" t="s">
        <v>2050</v>
      </c>
      <c r="G109" s="89" t="s">
        <v>271</v>
      </c>
      <c r="H109" s="90" t="s">
        <v>45</v>
      </c>
      <c r="I109" s="89" t="s">
        <v>46</v>
      </c>
      <c r="J109" s="90" t="s">
        <v>99</v>
      </c>
      <c r="K109" s="132">
        <v>45800</v>
      </c>
      <c r="L109" s="226" t="s">
        <v>2050</v>
      </c>
      <c r="M109" s="144" t="s">
        <v>2060</v>
      </c>
      <c r="N109" s="90" t="s">
        <v>2061</v>
      </c>
      <c r="O109" s="249" t="s">
        <v>135</v>
      </c>
      <c r="P109" s="90" t="s">
        <v>73</v>
      </c>
      <c r="Q109" s="90" t="s">
        <v>647</v>
      </c>
      <c r="R109" s="89" t="s">
        <v>1223</v>
      </c>
      <c r="S109" s="90"/>
      <c r="T109" s="90" t="s">
        <v>1218</v>
      </c>
      <c r="U109" s="90"/>
      <c r="V109" s="2" t="s">
        <v>1223</v>
      </c>
      <c r="W109" s="91" t="s">
        <v>490</v>
      </c>
      <c r="X109" s="3" t="s">
        <v>446</v>
      </c>
      <c r="Y109" s="231" t="s">
        <v>2062</v>
      </c>
      <c r="Z109" s="84" t="s">
        <v>2063</v>
      </c>
      <c r="AA109" s="3" t="s">
        <v>1225</v>
      </c>
      <c r="AB109" s="8">
        <v>45800</v>
      </c>
      <c r="AC109" s="84" t="s">
        <v>2064</v>
      </c>
      <c r="AD109" s="84" t="s">
        <v>58</v>
      </c>
      <c r="AE109" s="265" t="s">
        <v>2065</v>
      </c>
      <c r="AF109" s="86" t="s">
        <v>441</v>
      </c>
      <c r="AG109" s="87" t="s">
        <v>202</v>
      </c>
      <c r="AH109" s="87" t="s">
        <v>202</v>
      </c>
      <c r="AI109" s="3"/>
      <c r="AJ109" s="8"/>
      <c r="AK109" s="32" t="s">
        <v>61</v>
      </c>
      <c r="AL109" s="88"/>
      <c r="AM109" s="88"/>
      <c r="AO109" s="108" t="s">
        <v>1279</v>
      </c>
    </row>
    <row r="110" spans="2:41" s="108" customFormat="1" ht="355.5" customHeight="1" x14ac:dyDescent="0.2">
      <c r="B110" s="213"/>
      <c r="C110" s="115" t="s">
        <v>2058</v>
      </c>
      <c r="D110" s="116" t="s">
        <v>2066</v>
      </c>
      <c r="E110" s="89" t="s">
        <v>446</v>
      </c>
      <c r="F110" s="226" t="s">
        <v>2050</v>
      </c>
      <c r="G110" s="89" t="s">
        <v>271</v>
      </c>
      <c r="H110" s="90" t="s">
        <v>45</v>
      </c>
      <c r="I110" s="89" t="s">
        <v>46</v>
      </c>
      <c r="J110" s="90" t="s">
        <v>99</v>
      </c>
      <c r="K110" s="132">
        <v>45800</v>
      </c>
      <c r="L110" s="226" t="s">
        <v>2050</v>
      </c>
      <c r="M110" s="144" t="s">
        <v>2060</v>
      </c>
      <c r="N110" s="90" t="s">
        <v>2061</v>
      </c>
      <c r="O110" s="249" t="s">
        <v>135</v>
      </c>
      <c r="P110" s="90" t="s">
        <v>73</v>
      </c>
      <c r="Q110" s="90" t="s">
        <v>647</v>
      </c>
      <c r="R110" s="89" t="s">
        <v>1223</v>
      </c>
      <c r="S110" s="90"/>
      <c r="T110" s="90" t="s">
        <v>1218</v>
      </c>
      <c r="U110" s="90"/>
      <c r="V110" s="2" t="s">
        <v>1223</v>
      </c>
      <c r="W110" s="91" t="s">
        <v>490</v>
      </c>
      <c r="X110" s="6" t="s">
        <v>446</v>
      </c>
      <c r="Y110" s="231" t="s">
        <v>2067</v>
      </c>
      <c r="Z110" s="84" t="s">
        <v>2063</v>
      </c>
      <c r="AA110" s="3" t="s">
        <v>1225</v>
      </c>
      <c r="AB110" s="8">
        <v>45800</v>
      </c>
      <c r="AC110" s="84" t="s">
        <v>2068</v>
      </c>
      <c r="AD110" s="84" t="s">
        <v>58</v>
      </c>
      <c r="AE110" s="142" t="s">
        <v>2069</v>
      </c>
      <c r="AF110" s="86" t="s">
        <v>441</v>
      </c>
      <c r="AG110" s="87" t="s">
        <v>202</v>
      </c>
      <c r="AH110" s="87" t="s">
        <v>202</v>
      </c>
      <c r="AI110" s="3"/>
      <c r="AJ110" s="8"/>
      <c r="AK110" s="32" t="s">
        <v>61</v>
      </c>
      <c r="AL110" s="88"/>
      <c r="AM110" s="88"/>
      <c r="AO110" s="108" t="s">
        <v>1279</v>
      </c>
    </row>
    <row r="111" spans="2:41" s="108" customFormat="1" ht="121.5" x14ac:dyDescent="0.2">
      <c r="B111" s="50"/>
      <c r="C111" s="137" t="s">
        <v>2070</v>
      </c>
      <c r="D111" s="138" t="s">
        <v>2071</v>
      </c>
      <c r="E111" s="84" t="s">
        <v>325</v>
      </c>
      <c r="F111" s="131" t="s">
        <v>2072</v>
      </c>
      <c r="G111" s="84" t="s">
        <v>271</v>
      </c>
      <c r="H111" s="3" t="s">
        <v>285</v>
      </c>
      <c r="I111" s="84" t="s">
        <v>46</v>
      </c>
      <c r="J111" s="3" t="s">
        <v>99</v>
      </c>
      <c r="K111" s="139">
        <v>45800</v>
      </c>
      <c r="L111" s="131" t="s">
        <v>2072</v>
      </c>
      <c r="M111" s="135" t="s">
        <v>2073</v>
      </c>
      <c r="N111" s="3" t="s">
        <v>135</v>
      </c>
      <c r="O111" s="84" t="s">
        <v>1433</v>
      </c>
      <c r="P111" s="6" t="s">
        <v>73</v>
      </c>
      <c r="Q111" s="6" t="s">
        <v>197</v>
      </c>
      <c r="R111" s="84" t="s">
        <v>1223</v>
      </c>
      <c r="S111" s="3"/>
      <c r="T111" s="3" t="s">
        <v>55</v>
      </c>
      <c r="U111" s="3"/>
      <c r="V111" s="3"/>
      <c r="W111" s="3" t="s">
        <v>2074</v>
      </c>
      <c r="X111" s="3" t="s">
        <v>1435</v>
      </c>
      <c r="Y111" s="142" t="s">
        <v>2075</v>
      </c>
      <c r="Z111" s="84" t="s">
        <v>2076</v>
      </c>
      <c r="AA111" s="3" t="s">
        <v>1225</v>
      </c>
      <c r="AB111" s="8">
        <v>45800</v>
      </c>
      <c r="AC111" s="84" t="s">
        <v>1300</v>
      </c>
      <c r="AD111" s="84" t="s">
        <v>58</v>
      </c>
      <c r="AE111" s="142" t="s">
        <v>2077</v>
      </c>
      <c r="AF111" s="86" t="s">
        <v>574</v>
      </c>
      <c r="AG111" s="87" t="s">
        <v>202</v>
      </c>
      <c r="AH111" s="87" t="s">
        <v>202</v>
      </c>
      <c r="AI111" s="3"/>
      <c r="AJ111" s="8"/>
      <c r="AK111" s="32" t="s">
        <v>61</v>
      </c>
      <c r="AL111" s="88" t="s">
        <v>1302</v>
      </c>
      <c r="AM111" s="88" t="s">
        <v>2078</v>
      </c>
    </row>
    <row r="112" spans="2:41" s="108" customFormat="1" ht="108" x14ac:dyDescent="0.2">
      <c r="B112" s="79"/>
      <c r="C112" s="137" t="s">
        <v>2079</v>
      </c>
      <c r="D112" s="138" t="s">
        <v>2080</v>
      </c>
      <c r="E112" s="84" t="s">
        <v>255</v>
      </c>
      <c r="F112" s="131" t="s">
        <v>2081</v>
      </c>
      <c r="G112" s="84" t="s">
        <v>271</v>
      </c>
      <c r="H112" s="3" t="s">
        <v>510</v>
      </c>
      <c r="I112" s="84" t="s">
        <v>46</v>
      </c>
      <c r="J112" s="3" t="s">
        <v>99</v>
      </c>
      <c r="K112" s="139">
        <v>45800</v>
      </c>
      <c r="L112" s="131" t="s">
        <v>2082</v>
      </c>
      <c r="M112" s="135" t="s">
        <v>2083</v>
      </c>
      <c r="N112" s="3" t="s">
        <v>842</v>
      </c>
      <c r="O112" s="84" t="s">
        <v>2084</v>
      </c>
      <c r="P112" s="6" t="s">
        <v>73</v>
      </c>
      <c r="Q112" s="6" t="s">
        <v>197</v>
      </c>
      <c r="R112" s="84" t="s">
        <v>1228</v>
      </c>
      <c r="S112" s="3"/>
      <c r="T112" s="266" t="s">
        <v>55</v>
      </c>
      <c r="U112" s="3"/>
      <c r="V112" s="2"/>
      <c r="W112" s="6" t="s">
        <v>2085</v>
      </c>
      <c r="X112" s="3" t="s">
        <v>1583</v>
      </c>
      <c r="Y112" s="142" t="s">
        <v>2086</v>
      </c>
      <c r="Z112" s="84" t="s">
        <v>2087</v>
      </c>
      <c r="AA112" s="3" t="s">
        <v>1225</v>
      </c>
      <c r="AB112" s="8">
        <v>45800</v>
      </c>
      <c r="AC112" s="84" t="s">
        <v>1300</v>
      </c>
      <c r="AD112" s="84" t="s">
        <v>58</v>
      </c>
      <c r="AE112" s="142" t="s">
        <v>2088</v>
      </c>
      <c r="AF112" s="86" t="s">
        <v>574</v>
      </c>
      <c r="AG112" s="87" t="s">
        <v>202</v>
      </c>
      <c r="AH112" s="87" t="s">
        <v>202</v>
      </c>
      <c r="AI112" s="3"/>
      <c r="AJ112" s="8"/>
      <c r="AK112" s="32" t="s">
        <v>61</v>
      </c>
      <c r="AL112" s="88"/>
      <c r="AM112" s="88"/>
    </row>
    <row r="113" spans="2:41" s="108" customFormat="1" ht="195" x14ac:dyDescent="0.2">
      <c r="B113" s="50"/>
      <c r="C113" s="367" t="s">
        <v>2089</v>
      </c>
      <c r="D113" s="138" t="s">
        <v>2090</v>
      </c>
      <c r="E113" s="84" t="s">
        <v>255</v>
      </c>
      <c r="F113" s="131" t="s">
        <v>2091</v>
      </c>
      <c r="G113" s="84" t="s">
        <v>271</v>
      </c>
      <c r="H113" s="3" t="s">
        <v>510</v>
      </c>
      <c r="I113" s="84" t="s">
        <v>46</v>
      </c>
      <c r="J113" s="3" t="s">
        <v>99</v>
      </c>
      <c r="K113" s="139">
        <v>45800</v>
      </c>
      <c r="L113" s="131" t="s">
        <v>2092</v>
      </c>
      <c r="M113" s="135" t="s">
        <v>2093</v>
      </c>
      <c r="N113" s="3" t="s">
        <v>842</v>
      </c>
      <c r="O113" s="84" t="s">
        <v>135</v>
      </c>
      <c r="P113" s="6" t="s">
        <v>73</v>
      </c>
      <c r="Q113" s="6" t="s">
        <v>197</v>
      </c>
      <c r="R113" s="84" t="s">
        <v>1223</v>
      </c>
      <c r="S113" s="3"/>
      <c r="T113" s="3" t="s">
        <v>1218</v>
      </c>
      <c r="U113" s="96" t="s">
        <v>1217</v>
      </c>
      <c r="V113" s="2" t="s">
        <v>1223</v>
      </c>
      <c r="W113" s="3" t="s">
        <v>2094</v>
      </c>
      <c r="X113" s="3" t="s">
        <v>1583</v>
      </c>
      <c r="Y113" s="142">
        <v>2</v>
      </c>
      <c r="Z113" s="84" t="s">
        <v>2095</v>
      </c>
      <c r="AA113" s="3" t="s">
        <v>1225</v>
      </c>
      <c r="AB113" s="8">
        <v>45800</v>
      </c>
      <c r="AC113" s="84" t="s">
        <v>1300</v>
      </c>
      <c r="AD113" s="84" t="s">
        <v>58</v>
      </c>
      <c r="AE113" s="142" t="s">
        <v>2096</v>
      </c>
      <c r="AF113" s="86" t="s">
        <v>574</v>
      </c>
      <c r="AG113" s="87" t="s">
        <v>202</v>
      </c>
      <c r="AH113" s="87" t="s">
        <v>202</v>
      </c>
      <c r="AI113" s="3"/>
      <c r="AJ113" s="8"/>
      <c r="AK113" s="32" t="s">
        <v>61</v>
      </c>
      <c r="AL113" s="88"/>
      <c r="AM113" s="88"/>
    </row>
    <row r="114" spans="2:41" s="108" customFormat="1" ht="105" x14ac:dyDescent="0.2">
      <c r="B114" s="79"/>
      <c r="C114" s="137" t="s">
        <v>2097</v>
      </c>
      <c r="D114" s="138" t="s">
        <v>2098</v>
      </c>
      <c r="E114" s="84" t="s">
        <v>255</v>
      </c>
      <c r="F114" s="131" t="s">
        <v>2099</v>
      </c>
      <c r="G114" s="84" t="s">
        <v>1227</v>
      </c>
      <c r="H114" s="3" t="s">
        <v>510</v>
      </c>
      <c r="I114" s="84" t="s">
        <v>46</v>
      </c>
      <c r="J114" s="3" t="s">
        <v>99</v>
      </c>
      <c r="K114" s="139">
        <v>45800</v>
      </c>
      <c r="L114" s="131" t="s">
        <v>2100</v>
      </c>
      <c r="M114" s="135" t="s">
        <v>2101</v>
      </c>
      <c r="N114" s="3" t="s">
        <v>135</v>
      </c>
      <c r="O114" s="84" t="s">
        <v>2102</v>
      </c>
      <c r="P114" s="6" t="s">
        <v>73</v>
      </c>
      <c r="Q114" s="6" t="s">
        <v>197</v>
      </c>
      <c r="R114" s="84" t="s">
        <v>1223</v>
      </c>
      <c r="S114" s="3"/>
      <c r="T114" s="3" t="s">
        <v>55</v>
      </c>
      <c r="U114" s="3"/>
      <c r="V114" s="3"/>
      <c r="W114" s="6" t="s">
        <v>2103</v>
      </c>
      <c r="X114" s="3" t="s">
        <v>1583</v>
      </c>
      <c r="Y114" s="142" t="s">
        <v>2104</v>
      </c>
      <c r="Z114" s="84" t="s">
        <v>2105</v>
      </c>
      <c r="AA114" s="3" t="s">
        <v>1225</v>
      </c>
      <c r="AB114" s="8">
        <v>45800</v>
      </c>
      <c r="AC114" s="84" t="s">
        <v>1300</v>
      </c>
      <c r="AD114" s="84" t="s">
        <v>58</v>
      </c>
      <c r="AE114" s="142" t="s">
        <v>2106</v>
      </c>
      <c r="AF114" s="86" t="s">
        <v>574</v>
      </c>
      <c r="AG114" s="87" t="s">
        <v>202</v>
      </c>
      <c r="AH114" s="87" t="s">
        <v>202</v>
      </c>
      <c r="AI114" s="3"/>
      <c r="AJ114" s="8"/>
      <c r="AK114" s="32" t="s">
        <v>61</v>
      </c>
      <c r="AL114" s="88"/>
      <c r="AM114" s="88"/>
    </row>
    <row r="115" spans="2:41" s="108" customFormat="1" ht="243" x14ac:dyDescent="0.2">
      <c r="B115" s="79"/>
      <c r="C115" s="367" t="s">
        <v>2107</v>
      </c>
      <c r="D115" s="138" t="s">
        <v>2108</v>
      </c>
      <c r="E115" s="84" t="s">
        <v>282</v>
      </c>
      <c r="F115" s="267" t="s">
        <v>2109</v>
      </c>
      <c r="G115" s="84" t="s">
        <v>1227</v>
      </c>
      <c r="H115" s="3" t="s">
        <v>285</v>
      </c>
      <c r="I115" s="84" t="s">
        <v>46</v>
      </c>
      <c r="J115" s="3" t="s">
        <v>99</v>
      </c>
      <c r="K115" s="139">
        <v>45800</v>
      </c>
      <c r="L115" s="267" t="s">
        <v>2110</v>
      </c>
      <c r="M115" s="135" t="s">
        <v>2111</v>
      </c>
      <c r="N115" s="3" t="s">
        <v>135</v>
      </c>
      <c r="O115" s="99" t="s">
        <v>2112</v>
      </c>
      <c r="P115" s="6" t="s">
        <v>73</v>
      </c>
      <c r="Q115" s="6" t="s">
        <v>197</v>
      </c>
      <c r="R115" s="250" t="s">
        <v>1376</v>
      </c>
      <c r="S115" s="3"/>
      <c r="T115" s="3" t="s">
        <v>1218</v>
      </c>
      <c r="U115" s="227" t="s">
        <v>1217</v>
      </c>
      <c r="V115" s="2" t="s">
        <v>1223</v>
      </c>
      <c r="W115" s="35" t="s">
        <v>135</v>
      </c>
      <c r="X115" s="3" t="s">
        <v>1583</v>
      </c>
      <c r="Y115" s="268" t="s">
        <v>2113</v>
      </c>
      <c r="Z115" s="84" t="s">
        <v>2114</v>
      </c>
      <c r="AA115" s="3" t="s">
        <v>1225</v>
      </c>
      <c r="AB115" s="8">
        <v>45800</v>
      </c>
      <c r="AC115" s="84" t="s">
        <v>2115</v>
      </c>
      <c r="AD115" s="84" t="s">
        <v>109</v>
      </c>
      <c r="AE115" s="268" t="s">
        <v>2116</v>
      </c>
      <c r="AF115" s="86" t="s">
        <v>1568</v>
      </c>
      <c r="AG115" s="87" t="s">
        <v>202</v>
      </c>
      <c r="AH115" s="87" t="s">
        <v>202</v>
      </c>
      <c r="AI115" s="3"/>
      <c r="AJ115" s="8"/>
      <c r="AK115" s="32" t="s">
        <v>61</v>
      </c>
      <c r="AL115" s="88" t="s">
        <v>1277</v>
      </c>
      <c r="AM115" s="88" t="s">
        <v>2117</v>
      </c>
    </row>
    <row r="116" spans="2:41" s="108" customFormat="1" ht="240" x14ac:dyDescent="0.2">
      <c r="B116" s="50"/>
      <c r="C116" s="137" t="s">
        <v>2118</v>
      </c>
      <c r="D116" s="138" t="s">
        <v>2119</v>
      </c>
      <c r="E116" s="84" t="s">
        <v>255</v>
      </c>
      <c r="F116" s="131" t="s">
        <v>2120</v>
      </c>
      <c r="G116" s="84" t="s">
        <v>82</v>
      </c>
      <c r="H116" s="3" t="s">
        <v>510</v>
      </c>
      <c r="I116" s="84" t="s">
        <v>46</v>
      </c>
      <c r="J116" s="3" t="s">
        <v>99</v>
      </c>
      <c r="K116" s="139">
        <v>45800</v>
      </c>
      <c r="L116" s="131" t="s">
        <v>2121</v>
      </c>
      <c r="M116" s="135" t="s">
        <v>2122</v>
      </c>
      <c r="N116" s="3" t="s">
        <v>135</v>
      </c>
      <c r="O116" s="84" t="s">
        <v>2123</v>
      </c>
      <c r="P116" s="6" t="s">
        <v>73</v>
      </c>
      <c r="Q116" s="6" t="s">
        <v>197</v>
      </c>
      <c r="R116" s="84" t="s">
        <v>1223</v>
      </c>
      <c r="S116" s="3"/>
      <c r="T116" s="3" t="s">
        <v>55</v>
      </c>
      <c r="U116" s="3"/>
      <c r="V116" s="2"/>
      <c r="W116" s="35" t="s">
        <v>2124</v>
      </c>
      <c r="X116" s="3" t="s">
        <v>1793</v>
      </c>
      <c r="Y116" s="142" t="s">
        <v>2125</v>
      </c>
      <c r="Z116" s="84" t="s">
        <v>2126</v>
      </c>
      <c r="AA116" s="3" t="s">
        <v>1225</v>
      </c>
      <c r="AB116" s="8">
        <v>45800</v>
      </c>
      <c r="AC116" s="84" t="s">
        <v>1338</v>
      </c>
      <c r="AD116" s="84" t="s">
        <v>58</v>
      </c>
      <c r="AE116" s="142" t="s">
        <v>2127</v>
      </c>
      <c r="AF116" s="86" t="s">
        <v>574</v>
      </c>
      <c r="AG116" s="87" t="s">
        <v>202</v>
      </c>
      <c r="AH116" s="87" t="s">
        <v>202</v>
      </c>
      <c r="AI116" s="3"/>
      <c r="AJ116" s="8"/>
      <c r="AK116" s="32" t="s">
        <v>61</v>
      </c>
      <c r="AL116" s="88"/>
      <c r="AM116" s="88"/>
      <c r="AO116" s="108" t="s">
        <v>1502</v>
      </c>
    </row>
    <row r="117" spans="2:41" s="108" customFormat="1" ht="225" x14ac:dyDescent="0.2">
      <c r="B117" s="50" t="s">
        <v>2128</v>
      </c>
      <c r="C117" s="367" t="s">
        <v>2129</v>
      </c>
      <c r="D117" s="138" t="s">
        <v>2130</v>
      </c>
      <c r="E117" s="84" t="s">
        <v>476</v>
      </c>
      <c r="F117" s="135" t="s">
        <v>2131</v>
      </c>
      <c r="G117" s="84" t="s">
        <v>1227</v>
      </c>
      <c r="H117" s="3" t="s">
        <v>285</v>
      </c>
      <c r="I117" s="84" t="s">
        <v>46</v>
      </c>
      <c r="J117" s="3" t="s">
        <v>99</v>
      </c>
      <c r="K117" s="139">
        <v>45800</v>
      </c>
      <c r="L117" s="131" t="s">
        <v>2132</v>
      </c>
      <c r="M117" s="135" t="s">
        <v>2133</v>
      </c>
      <c r="N117" s="3" t="s">
        <v>135</v>
      </c>
      <c r="O117" s="99" t="s">
        <v>2134</v>
      </c>
      <c r="P117" s="6" t="s">
        <v>73</v>
      </c>
      <c r="Q117" s="6" t="s">
        <v>197</v>
      </c>
      <c r="R117" s="99" t="s">
        <v>1617</v>
      </c>
      <c r="S117" s="3"/>
      <c r="T117" s="3" t="s">
        <v>89</v>
      </c>
      <c r="U117" s="96" t="s">
        <v>1405</v>
      </c>
      <c r="V117" s="2" t="s">
        <v>1233</v>
      </c>
      <c r="W117" s="35" t="s">
        <v>135</v>
      </c>
      <c r="X117" s="3" t="s">
        <v>1652</v>
      </c>
      <c r="Y117" s="142" t="s">
        <v>2135</v>
      </c>
      <c r="Z117" s="84" t="s">
        <v>2136</v>
      </c>
      <c r="AA117" s="3" t="s">
        <v>1225</v>
      </c>
      <c r="AB117" s="8">
        <v>45800</v>
      </c>
      <c r="AC117" s="84" t="s">
        <v>2137</v>
      </c>
      <c r="AD117" s="84" t="s">
        <v>147</v>
      </c>
      <c r="AE117" s="142" t="s">
        <v>2138</v>
      </c>
      <c r="AF117" s="86" t="s">
        <v>2139</v>
      </c>
      <c r="AG117" s="87" t="s">
        <v>202</v>
      </c>
      <c r="AH117" s="87" t="s">
        <v>202</v>
      </c>
      <c r="AI117" s="3"/>
      <c r="AJ117" s="8"/>
      <c r="AK117" s="32" t="s">
        <v>61</v>
      </c>
      <c r="AL117" s="88" t="s">
        <v>1352</v>
      </c>
      <c r="AM117" s="88" t="s">
        <v>2140</v>
      </c>
    </row>
    <row r="118" spans="2:41" s="108" customFormat="1" ht="135" x14ac:dyDescent="0.2">
      <c r="B118" s="50"/>
      <c r="C118" s="137" t="s">
        <v>1304</v>
      </c>
      <c r="D118" s="138" t="s">
        <v>1305</v>
      </c>
      <c r="E118" s="84" t="s">
        <v>282</v>
      </c>
      <c r="F118" s="131" t="s">
        <v>283</v>
      </c>
      <c r="G118" s="84" t="s">
        <v>82</v>
      </c>
      <c r="H118" s="3" t="s">
        <v>285</v>
      </c>
      <c r="I118" s="84" t="s">
        <v>46</v>
      </c>
      <c r="J118" s="3" t="s">
        <v>99</v>
      </c>
      <c r="K118" s="139">
        <v>45800</v>
      </c>
      <c r="L118" s="131" t="s">
        <v>286</v>
      </c>
      <c r="M118" s="135" t="s">
        <v>287</v>
      </c>
      <c r="N118" s="3" t="s">
        <v>288</v>
      </c>
      <c r="O118" s="84" t="s">
        <v>289</v>
      </c>
      <c r="P118" s="6" t="s">
        <v>73</v>
      </c>
      <c r="Q118" s="6" t="s">
        <v>197</v>
      </c>
      <c r="R118" s="3" t="s">
        <v>1261</v>
      </c>
      <c r="S118" s="3"/>
      <c r="T118" s="3" t="s">
        <v>89</v>
      </c>
      <c r="U118" s="3"/>
      <c r="V118" s="3"/>
      <c r="W118" s="35" t="s">
        <v>135</v>
      </c>
      <c r="X118" s="3" t="s">
        <v>290</v>
      </c>
      <c r="Y118" s="142" t="s">
        <v>291</v>
      </c>
      <c r="Z118" s="84" t="s">
        <v>1306</v>
      </c>
      <c r="AA118" s="3" t="s">
        <v>1225</v>
      </c>
      <c r="AB118" s="8">
        <v>45800</v>
      </c>
      <c r="AC118" s="84" t="s">
        <v>1307</v>
      </c>
      <c r="AD118" s="142" t="s">
        <v>109</v>
      </c>
      <c r="AE118" s="142" t="s">
        <v>1308</v>
      </c>
      <c r="AF118" s="86" t="s">
        <v>574</v>
      </c>
      <c r="AG118" s="87" t="s">
        <v>202</v>
      </c>
      <c r="AH118" s="87" t="s">
        <v>202</v>
      </c>
      <c r="AI118" s="3"/>
      <c r="AJ118" s="8"/>
      <c r="AK118" s="32" t="s">
        <v>61</v>
      </c>
      <c r="AL118" s="88" t="s">
        <v>1309</v>
      </c>
      <c r="AM118" s="88" t="s">
        <v>1310</v>
      </c>
    </row>
    <row r="119" spans="2:41" s="108" customFormat="1" ht="178.5" customHeight="1" x14ac:dyDescent="0.2">
      <c r="B119" s="269"/>
      <c r="C119" s="367" t="s">
        <v>2141</v>
      </c>
      <c r="D119" s="138" t="s">
        <v>2142</v>
      </c>
      <c r="E119" s="84" t="s">
        <v>282</v>
      </c>
      <c r="F119" s="131" t="s">
        <v>2143</v>
      </c>
      <c r="G119" s="84" t="s">
        <v>82</v>
      </c>
      <c r="H119" s="3" t="s">
        <v>285</v>
      </c>
      <c r="I119" s="84" t="s">
        <v>46</v>
      </c>
      <c r="J119" s="3" t="s">
        <v>99</v>
      </c>
      <c r="K119" s="139">
        <v>45800</v>
      </c>
      <c r="L119" s="131" t="s">
        <v>2144</v>
      </c>
      <c r="M119" s="135" t="s">
        <v>2145</v>
      </c>
      <c r="N119" s="3" t="s">
        <v>2146</v>
      </c>
      <c r="O119" s="99" t="s">
        <v>2147</v>
      </c>
      <c r="P119" s="6" t="s">
        <v>73</v>
      </c>
      <c r="Q119" s="6" t="s">
        <v>197</v>
      </c>
      <c r="R119" s="84" t="s">
        <v>1223</v>
      </c>
      <c r="S119" s="3"/>
      <c r="T119" s="3" t="s">
        <v>1218</v>
      </c>
      <c r="U119" s="96" t="s">
        <v>1217</v>
      </c>
      <c r="V119" s="2" t="s">
        <v>1223</v>
      </c>
      <c r="W119" s="35" t="s">
        <v>135</v>
      </c>
      <c r="X119" s="3" t="s">
        <v>290</v>
      </c>
      <c r="Y119" s="142" t="s">
        <v>2148</v>
      </c>
      <c r="Z119" s="84" t="s">
        <v>2149</v>
      </c>
      <c r="AA119" s="3" t="s">
        <v>1225</v>
      </c>
      <c r="AB119" s="8">
        <v>45800</v>
      </c>
      <c r="AC119" s="84" t="s">
        <v>2150</v>
      </c>
      <c r="AD119" s="142" t="s">
        <v>109</v>
      </c>
      <c r="AE119" s="268" t="s">
        <v>2151</v>
      </c>
      <c r="AF119" s="84" t="s">
        <v>2152</v>
      </c>
      <c r="AG119" s="87" t="s">
        <v>202</v>
      </c>
      <c r="AH119" s="87" t="s">
        <v>202</v>
      </c>
      <c r="AI119" s="3"/>
      <c r="AJ119" s="8"/>
      <c r="AK119" s="32" t="s">
        <v>61</v>
      </c>
      <c r="AL119" s="88" t="s">
        <v>1309</v>
      </c>
      <c r="AM119" s="88" t="s">
        <v>2153</v>
      </c>
    </row>
    <row r="120" spans="2:41" s="108" customFormat="1" ht="146.9" customHeight="1" x14ac:dyDescent="0.2">
      <c r="B120" s="79"/>
      <c r="C120" s="118" t="s">
        <v>2141</v>
      </c>
      <c r="D120" s="119" t="s">
        <v>2154</v>
      </c>
      <c r="E120" s="121" t="s">
        <v>282</v>
      </c>
      <c r="F120" s="120" t="s">
        <v>2155</v>
      </c>
      <c r="G120" s="121" t="s">
        <v>82</v>
      </c>
      <c r="H120" s="122" t="s">
        <v>285</v>
      </c>
      <c r="I120" s="121" t="s">
        <v>46</v>
      </c>
      <c r="J120" s="122" t="s">
        <v>99</v>
      </c>
      <c r="K120" s="129">
        <v>45800</v>
      </c>
      <c r="L120" s="120" t="s">
        <v>2144</v>
      </c>
      <c r="M120" s="240" t="s">
        <v>2145</v>
      </c>
      <c r="N120" s="122" t="s">
        <v>2146</v>
      </c>
      <c r="O120" s="121" t="s">
        <v>289</v>
      </c>
      <c r="P120" s="122" t="s">
        <v>73</v>
      </c>
      <c r="Q120" s="122" t="s">
        <v>197</v>
      </c>
      <c r="R120" s="121" t="s">
        <v>1223</v>
      </c>
      <c r="S120" s="122"/>
      <c r="T120" s="122" t="s">
        <v>55</v>
      </c>
      <c r="U120" s="122"/>
      <c r="V120" s="2"/>
      <c r="W120" s="124" t="s">
        <v>2156</v>
      </c>
      <c r="X120" s="3" t="s">
        <v>290</v>
      </c>
      <c r="Y120" s="142" t="s">
        <v>2157</v>
      </c>
      <c r="Z120" s="84" t="s">
        <v>2149</v>
      </c>
      <c r="AA120" s="3" t="s">
        <v>1225</v>
      </c>
      <c r="AB120" s="8">
        <v>45800</v>
      </c>
      <c r="AC120" s="84" t="s">
        <v>1307</v>
      </c>
      <c r="AD120" s="142" t="s">
        <v>109</v>
      </c>
      <c r="AE120" s="142" t="s">
        <v>2158</v>
      </c>
      <c r="AF120" s="84" t="s">
        <v>2152</v>
      </c>
      <c r="AG120" s="87" t="s">
        <v>202</v>
      </c>
      <c r="AH120" s="87" t="s">
        <v>202</v>
      </c>
      <c r="AI120" s="3"/>
      <c r="AJ120" s="8"/>
      <c r="AK120" s="32" t="s">
        <v>61</v>
      </c>
      <c r="AL120" s="88"/>
      <c r="AM120" s="88"/>
    </row>
    <row r="121" spans="2:41" s="108" customFormat="1" ht="150" x14ac:dyDescent="0.2">
      <c r="B121" s="50"/>
      <c r="C121" s="367" t="s">
        <v>2159</v>
      </c>
      <c r="D121" s="138" t="s">
        <v>2160</v>
      </c>
      <c r="E121" s="84" t="s">
        <v>813</v>
      </c>
      <c r="F121" s="131" t="s">
        <v>2161</v>
      </c>
      <c r="G121" s="84" t="s">
        <v>82</v>
      </c>
      <c r="H121" s="3" t="s">
        <v>285</v>
      </c>
      <c r="I121" s="84" t="s">
        <v>46</v>
      </c>
      <c r="J121" s="3" t="s">
        <v>99</v>
      </c>
      <c r="K121" s="139">
        <v>45800</v>
      </c>
      <c r="L121" s="131" t="s">
        <v>2162</v>
      </c>
      <c r="M121" s="135" t="s">
        <v>2163</v>
      </c>
      <c r="N121" s="3" t="s">
        <v>2164</v>
      </c>
      <c r="O121" s="84" t="s">
        <v>135</v>
      </c>
      <c r="P121" s="6" t="s">
        <v>73</v>
      </c>
      <c r="Q121" s="6" t="s">
        <v>197</v>
      </c>
      <c r="R121" s="84" t="s">
        <v>1223</v>
      </c>
      <c r="S121" s="3"/>
      <c r="T121" s="3" t="s">
        <v>1218</v>
      </c>
      <c r="U121" s="96" t="s">
        <v>1217</v>
      </c>
      <c r="V121" s="3" t="s">
        <v>1376</v>
      </c>
      <c r="W121" s="35" t="s">
        <v>135</v>
      </c>
      <c r="X121" s="3" t="s">
        <v>2165</v>
      </c>
      <c r="Y121" s="142" t="s">
        <v>2166</v>
      </c>
      <c r="Z121" s="84" t="s">
        <v>2167</v>
      </c>
      <c r="AA121" s="3" t="s">
        <v>1225</v>
      </c>
      <c r="AB121" s="8">
        <v>45800</v>
      </c>
      <c r="AC121" s="84" t="s">
        <v>1338</v>
      </c>
      <c r="AD121" s="84" t="s">
        <v>58</v>
      </c>
      <c r="AE121" s="142" t="s">
        <v>2168</v>
      </c>
      <c r="AF121" s="86" t="s">
        <v>574</v>
      </c>
      <c r="AG121" s="87" t="s">
        <v>202</v>
      </c>
      <c r="AH121" s="87" t="s">
        <v>202</v>
      </c>
      <c r="AI121" s="3"/>
      <c r="AJ121" s="8"/>
      <c r="AK121" s="32" t="s">
        <v>61</v>
      </c>
      <c r="AL121" s="88"/>
      <c r="AM121" s="88"/>
    </row>
    <row r="122" spans="2:41" s="108" customFormat="1" ht="105" x14ac:dyDescent="0.2">
      <c r="B122" s="50" t="s">
        <v>2169</v>
      </c>
      <c r="C122" s="367" t="s">
        <v>2170</v>
      </c>
      <c r="D122" s="138" t="s">
        <v>2171</v>
      </c>
      <c r="E122" s="84" t="s">
        <v>2172</v>
      </c>
      <c r="F122" s="131" t="s">
        <v>2173</v>
      </c>
      <c r="G122" s="84" t="s">
        <v>82</v>
      </c>
      <c r="H122" s="3" t="s">
        <v>285</v>
      </c>
      <c r="I122" s="84" t="s">
        <v>46</v>
      </c>
      <c r="J122" s="3" t="s">
        <v>99</v>
      </c>
      <c r="K122" s="139">
        <v>45800</v>
      </c>
      <c r="L122" s="131" t="s">
        <v>2174</v>
      </c>
      <c r="M122" s="135" t="s">
        <v>2175</v>
      </c>
      <c r="N122" s="3" t="s">
        <v>2176</v>
      </c>
      <c r="O122" s="99" t="s">
        <v>2177</v>
      </c>
      <c r="P122" s="6" t="s">
        <v>73</v>
      </c>
      <c r="Q122" s="6" t="s">
        <v>197</v>
      </c>
      <c r="R122" s="84" t="s">
        <v>1223</v>
      </c>
      <c r="S122" s="3"/>
      <c r="T122" s="3" t="s">
        <v>1218</v>
      </c>
      <c r="U122" s="96" t="s">
        <v>1217</v>
      </c>
      <c r="V122" s="2" t="s">
        <v>1223</v>
      </c>
      <c r="W122" s="35" t="s">
        <v>135</v>
      </c>
      <c r="X122" s="3" t="s">
        <v>126</v>
      </c>
      <c r="Y122" s="142" t="s">
        <v>2178</v>
      </c>
      <c r="Z122" s="84" t="s">
        <v>2179</v>
      </c>
      <c r="AA122" s="3" t="s">
        <v>1225</v>
      </c>
      <c r="AB122" s="8">
        <v>45800</v>
      </c>
      <c r="AC122" s="84" t="s">
        <v>2150</v>
      </c>
      <c r="AD122" s="84" t="s">
        <v>109</v>
      </c>
      <c r="AE122" s="142" t="s">
        <v>2180</v>
      </c>
      <c r="AF122" s="86" t="s">
        <v>574</v>
      </c>
      <c r="AG122" s="87" t="s">
        <v>202</v>
      </c>
      <c r="AH122" s="87" t="s">
        <v>202</v>
      </c>
      <c r="AI122" s="3"/>
      <c r="AJ122" s="8"/>
      <c r="AK122" s="32" t="s">
        <v>61</v>
      </c>
      <c r="AL122" s="88"/>
      <c r="AM122" s="88"/>
    </row>
    <row r="123" spans="2:41" s="108" customFormat="1" ht="171.65" customHeight="1" x14ac:dyDescent="0.2">
      <c r="B123" s="50"/>
      <c r="C123" s="367" t="s">
        <v>2181</v>
      </c>
      <c r="D123" s="138" t="s">
        <v>2182</v>
      </c>
      <c r="E123" s="84" t="s">
        <v>2183</v>
      </c>
      <c r="F123" s="131" t="s">
        <v>2184</v>
      </c>
      <c r="G123" s="84" t="s">
        <v>258</v>
      </c>
      <c r="H123" s="3" t="s">
        <v>2185</v>
      </c>
      <c r="I123" s="84" t="s">
        <v>46</v>
      </c>
      <c r="J123" s="3" t="s">
        <v>99</v>
      </c>
      <c r="K123" s="139">
        <v>45800</v>
      </c>
      <c r="L123" s="131" t="s">
        <v>2186</v>
      </c>
      <c r="M123" s="135" t="s">
        <v>2187</v>
      </c>
      <c r="N123" s="3" t="s">
        <v>490</v>
      </c>
      <c r="O123" s="99" t="s">
        <v>2188</v>
      </c>
      <c r="P123" s="6" t="s">
        <v>73</v>
      </c>
      <c r="Q123" s="6" t="s">
        <v>197</v>
      </c>
      <c r="R123" s="84" t="s">
        <v>1223</v>
      </c>
      <c r="S123" s="3"/>
      <c r="T123" s="3" t="s">
        <v>1218</v>
      </c>
      <c r="U123" s="3"/>
      <c r="V123" s="2" t="s">
        <v>1697</v>
      </c>
      <c r="W123" s="35" t="s">
        <v>135</v>
      </c>
      <c r="X123" s="3" t="s">
        <v>1583</v>
      </c>
      <c r="Y123" s="142" t="s">
        <v>2189</v>
      </c>
      <c r="Z123" s="84" t="s">
        <v>2190</v>
      </c>
      <c r="AA123" s="3" t="s">
        <v>1225</v>
      </c>
      <c r="AB123" s="8">
        <v>45800</v>
      </c>
      <c r="AC123" s="84" t="s">
        <v>2191</v>
      </c>
      <c r="AD123" s="84" t="s">
        <v>58</v>
      </c>
      <c r="AE123" s="142" t="s">
        <v>2192</v>
      </c>
      <c r="AF123" s="86" t="s">
        <v>574</v>
      </c>
      <c r="AG123" s="87" t="s">
        <v>202</v>
      </c>
      <c r="AH123" s="87" t="s">
        <v>202</v>
      </c>
      <c r="AI123" s="3"/>
      <c r="AJ123" s="8"/>
      <c r="AK123" s="32" t="s">
        <v>61</v>
      </c>
      <c r="AL123" s="88"/>
      <c r="AM123" s="88"/>
    </row>
    <row r="124" spans="2:41" s="108" customFormat="1" ht="180" x14ac:dyDescent="0.2">
      <c r="B124" s="50"/>
      <c r="C124" s="115" t="s">
        <v>2181</v>
      </c>
      <c r="D124" s="116" t="s">
        <v>2193</v>
      </c>
      <c r="E124" s="89" t="s">
        <v>1504</v>
      </c>
      <c r="F124" s="226" t="s">
        <v>2184</v>
      </c>
      <c r="G124" s="89" t="s">
        <v>258</v>
      </c>
      <c r="H124" s="90" t="s">
        <v>2185</v>
      </c>
      <c r="I124" s="89" t="s">
        <v>46</v>
      </c>
      <c r="J124" s="90" t="s">
        <v>99</v>
      </c>
      <c r="K124" s="132">
        <v>45800</v>
      </c>
      <c r="L124" s="226" t="s">
        <v>2194</v>
      </c>
      <c r="M124" s="144" t="s">
        <v>2187</v>
      </c>
      <c r="N124" s="90" t="s">
        <v>490</v>
      </c>
      <c r="O124" s="117" t="s">
        <v>2188</v>
      </c>
      <c r="P124" s="90" t="s">
        <v>73</v>
      </c>
      <c r="Q124" s="90" t="s">
        <v>197</v>
      </c>
      <c r="R124" s="89" t="s">
        <v>1223</v>
      </c>
      <c r="S124" s="90"/>
      <c r="T124" s="90" t="s">
        <v>1218</v>
      </c>
      <c r="U124" s="90"/>
      <c r="V124" s="2" t="s">
        <v>1697</v>
      </c>
      <c r="W124" s="91" t="s">
        <v>135</v>
      </c>
      <c r="X124" s="3" t="s">
        <v>1583</v>
      </c>
      <c r="Y124" s="142" t="s">
        <v>2195</v>
      </c>
      <c r="Z124" s="84" t="s">
        <v>2196</v>
      </c>
      <c r="AA124" s="3" t="s">
        <v>1225</v>
      </c>
      <c r="AB124" s="8">
        <v>45800</v>
      </c>
      <c r="AC124" s="84" t="s">
        <v>1531</v>
      </c>
      <c r="AD124" s="83" t="s">
        <v>58</v>
      </c>
      <c r="AE124" s="142" t="s">
        <v>2197</v>
      </c>
      <c r="AF124" s="86" t="s">
        <v>574</v>
      </c>
      <c r="AG124" s="87" t="s">
        <v>202</v>
      </c>
      <c r="AH124" s="87" t="s">
        <v>202</v>
      </c>
      <c r="AI124" s="3"/>
      <c r="AJ124" s="8"/>
      <c r="AK124" s="32" t="s">
        <v>61</v>
      </c>
      <c r="AL124" s="88"/>
      <c r="AM124" s="88"/>
    </row>
    <row r="125" spans="2:41" s="271" customFormat="1" ht="255" x14ac:dyDescent="0.2">
      <c r="B125" s="269"/>
      <c r="C125" s="367" t="s">
        <v>2198</v>
      </c>
      <c r="D125" s="138" t="s">
        <v>2199</v>
      </c>
      <c r="E125" s="3" t="s">
        <v>1553</v>
      </c>
      <c r="F125" s="135" t="s">
        <v>2200</v>
      </c>
      <c r="G125" s="3" t="s">
        <v>1227</v>
      </c>
      <c r="H125" s="3" t="s">
        <v>285</v>
      </c>
      <c r="I125" s="3" t="s">
        <v>46</v>
      </c>
      <c r="J125" s="3" t="s">
        <v>99</v>
      </c>
      <c r="K125" s="139">
        <v>45805</v>
      </c>
      <c r="L125" s="135" t="s">
        <v>2201</v>
      </c>
      <c r="M125" s="135" t="s">
        <v>2202</v>
      </c>
      <c r="N125" s="3" t="s">
        <v>135</v>
      </c>
      <c r="O125" s="214" t="s">
        <v>2203</v>
      </c>
      <c r="P125" s="6" t="s">
        <v>73</v>
      </c>
      <c r="Q125" s="6" t="s">
        <v>197</v>
      </c>
      <c r="R125" s="3" t="s">
        <v>1223</v>
      </c>
      <c r="S125" s="3"/>
      <c r="T125" s="3" t="s">
        <v>1218</v>
      </c>
      <c r="U125" s="96" t="s">
        <v>1217</v>
      </c>
      <c r="V125" s="2" t="s">
        <v>1223</v>
      </c>
      <c r="W125" s="3"/>
      <c r="X125" s="3" t="s">
        <v>126</v>
      </c>
      <c r="Y125" s="270" t="s">
        <v>2204</v>
      </c>
      <c r="Z125" s="3" t="s">
        <v>2205</v>
      </c>
      <c r="AA125" s="3" t="s">
        <v>1225</v>
      </c>
      <c r="AB125" s="8">
        <v>45805</v>
      </c>
      <c r="AC125" s="6" t="s">
        <v>2206</v>
      </c>
      <c r="AD125" s="3" t="s">
        <v>58</v>
      </c>
      <c r="AE125" s="270" t="s">
        <v>2207</v>
      </c>
      <c r="AF125" s="3" t="s">
        <v>574</v>
      </c>
      <c r="AG125" s="193" t="s">
        <v>202</v>
      </c>
      <c r="AH125" s="193" t="s">
        <v>202</v>
      </c>
      <c r="AI125" s="3"/>
      <c r="AJ125" s="8"/>
      <c r="AK125" s="32" t="s">
        <v>61</v>
      </c>
      <c r="AL125" s="145"/>
      <c r="AM125" s="145"/>
    </row>
    <row r="126" spans="2:41" s="271" customFormat="1" ht="255" x14ac:dyDescent="0.2">
      <c r="B126" s="269"/>
      <c r="C126" s="137" t="s">
        <v>2198</v>
      </c>
      <c r="D126" s="116" t="s">
        <v>2208</v>
      </c>
      <c r="E126" s="90" t="s">
        <v>130</v>
      </c>
      <c r="F126" s="144" t="s">
        <v>2209</v>
      </c>
      <c r="G126" s="90" t="s">
        <v>1227</v>
      </c>
      <c r="H126" s="90" t="s">
        <v>285</v>
      </c>
      <c r="I126" s="90" t="s">
        <v>46</v>
      </c>
      <c r="J126" s="90" t="s">
        <v>99</v>
      </c>
      <c r="K126" s="132">
        <v>45805</v>
      </c>
      <c r="L126" s="144" t="s">
        <v>2201</v>
      </c>
      <c r="M126" s="144" t="s">
        <v>2202</v>
      </c>
      <c r="N126" s="90" t="s">
        <v>135</v>
      </c>
      <c r="O126" s="272" t="s">
        <v>2203</v>
      </c>
      <c r="P126" s="90" t="s">
        <v>73</v>
      </c>
      <c r="Q126" s="90" t="s">
        <v>197</v>
      </c>
      <c r="R126" s="90" t="s">
        <v>1223</v>
      </c>
      <c r="S126" s="90"/>
      <c r="T126" s="90" t="s">
        <v>1218</v>
      </c>
      <c r="U126" s="90"/>
      <c r="V126" s="2" t="s">
        <v>1223</v>
      </c>
      <c r="W126" s="90"/>
      <c r="X126" s="90" t="s">
        <v>126</v>
      </c>
      <c r="Y126" s="273" t="s">
        <v>2204</v>
      </c>
      <c r="Z126" s="90" t="s">
        <v>2205</v>
      </c>
      <c r="AA126" s="90" t="s">
        <v>1225</v>
      </c>
      <c r="AB126" s="103">
        <v>45805</v>
      </c>
      <c r="AC126" s="6" t="s">
        <v>2210</v>
      </c>
      <c r="AD126" s="3" t="s">
        <v>109</v>
      </c>
      <c r="AE126" s="274" t="s">
        <v>2211</v>
      </c>
      <c r="AF126" s="3" t="s">
        <v>574</v>
      </c>
      <c r="AG126" s="193" t="s">
        <v>202</v>
      </c>
      <c r="AH126" s="193" t="s">
        <v>202</v>
      </c>
      <c r="AI126" s="3"/>
      <c r="AJ126" s="8"/>
      <c r="AK126" s="32" t="s">
        <v>61</v>
      </c>
      <c r="AL126" s="145"/>
      <c r="AM126" s="145"/>
    </row>
    <row r="127" spans="2:41" s="271" customFormat="1" ht="255" x14ac:dyDescent="0.2">
      <c r="B127" s="101"/>
      <c r="C127" s="137" t="s">
        <v>2198</v>
      </c>
      <c r="D127" s="116" t="s">
        <v>2212</v>
      </c>
      <c r="E127" s="90" t="s">
        <v>130</v>
      </c>
      <c r="F127" s="144" t="s">
        <v>2209</v>
      </c>
      <c r="G127" s="90" t="s">
        <v>1227</v>
      </c>
      <c r="H127" s="90" t="s">
        <v>285</v>
      </c>
      <c r="I127" s="90" t="s">
        <v>46</v>
      </c>
      <c r="J127" s="90" t="s">
        <v>99</v>
      </c>
      <c r="K127" s="132">
        <v>45805</v>
      </c>
      <c r="L127" s="144" t="s">
        <v>2201</v>
      </c>
      <c r="M127" s="144" t="s">
        <v>2202</v>
      </c>
      <c r="N127" s="90" t="s">
        <v>135</v>
      </c>
      <c r="O127" s="275" t="s">
        <v>2203</v>
      </c>
      <c r="P127" s="90" t="s">
        <v>73</v>
      </c>
      <c r="Q127" s="90" t="s">
        <v>197</v>
      </c>
      <c r="R127" s="90" t="s">
        <v>1223</v>
      </c>
      <c r="S127" s="90"/>
      <c r="T127" s="90" t="s">
        <v>1218</v>
      </c>
      <c r="U127" s="90"/>
      <c r="V127" s="2" t="s">
        <v>1223</v>
      </c>
      <c r="W127" s="90"/>
      <c r="X127" s="90" t="s">
        <v>126</v>
      </c>
      <c r="Y127" s="273" t="s">
        <v>2204</v>
      </c>
      <c r="Z127" s="90" t="s">
        <v>2205</v>
      </c>
      <c r="AA127" s="90" t="s">
        <v>1225</v>
      </c>
      <c r="AB127" s="103">
        <v>45805</v>
      </c>
      <c r="AC127" s="3" t="s">
        <v>1507</v>
      </c>
      <c r="AD127" s="3" t="s">
        <v>109</v>
      </c>
      <c r="AE127" s="270" t="s">
        <v>2213</v>
      </c>
      <c r="AF127" s="3" t="s">
        <v>1509</v>
      </c>
      <c r="AG127" s="193" t="s">
        <v>202</v>
      </c>
      <c r="AH127" s="193" t="s">
        <v>202</v>
      </c>
      <c r="AI127" s="3"/>
      <c r="AJ127" s="8"/>
      <c r="AK127" s="32" t="s">
        <v>61</v>
      </c>
      <c r="AL127" s="145"/>
      <c r="AM127" s="145"/>
    </row>
    <row r="128" spans="2:41" s="101" customFormat="1" ht="105" x14ac:dyDescent="0.2">
      <c r="B128" s="79"/>
      <c r="C128" s="112" t="s">
        <v>2214</v>
      </c>
      <c r="D128" s="113" t="s">
        <v>2215</v>
      </c>
      <c r="E128" s="1" t="s">
        <v>476</v>
      </c>
      <c r="F128" s="215" t="s">
        <v>2216</v>
      </c>
      <c r="G128" s="1" t="s">
        <v>82</v>
      </c>
      <c r="H128" s="1" t="s">
        <v>161</v>
      </c>
      <c r="I128" s="1" t="s">
        <v>162</v>
      </c>
      <c r="J128" s="1" t="s">
        <v>1312</v>
      </c>
      <c r="K128" s="127">
        <v>45807</v>
      </c>
      <c r="L128" s="145" t="s">
        <v>2217</v>
      </c>
      <c r="M128" s="145" t="s">
        <v>2218</v>
      </c>
      <c r="N128" s="1" t="s">
        <v>2219</v>
      </c>
      <c r="O128" s="1" t="s">
        <v>87</v>
      </c>
      <c r="P128" s="1" t="s">
        <v>87</v>
      </c>
      <c r="Q128" s="1"/>
      <c r="R128" s="1" t="s">
        <v>1223</v>
      </c>
      <c r="S128" s="1"/>
      <c r="T128" s="1" t="s">
        <v>55</v>
      </c>
      <c r="U128" s="1"/>
      <c r="V128" s="1"/>
      <c r="W128" s="100" t="s">
        <v>2220</v>
      </c>
      <c r="X128" s="1" t="s">
        <v>2221</v>
      </c>
      <c r="Y128" s="146" t="s">
        <v>2222</v>
      </c>
      <c r="Z128" s="1" t="s">
        <v>2223</v>
      </c>
      <c r="AA128" s="1" t="s">
        <v>252</v>
      </c>
      <c r="AB128" s="98">
        <v>45807</v>
      </c>
      <c r="AC128" s="1" t="s">
        <v>2221</v>
      </c>
      <c r="AD128" s="1" t="s">
        <v>58</v>
      </c>
      <c r="AE128" s="146" t="s">
        <v>2224</v>
      </c>
      <c r="AF128" s="1" t="s">
        <v>2225</v>
      </c>
      <c r="AG128" s="1" t="s">
        <v>135</v>
      </c>
      <c r="AH128" s="1" t="s">
        <v>135</v>
      </c>
      <c r="AI128" s="1" t="s">
        <v>252</v>
      </c>
      <c r="AJ128" s="98">
        <v>45807</v>
      </c>
      <c r="AK128" s="147" t="s">
        <v>61</v>
      </c>
      <c r="AL128" s="145"/>
      <c r="AM128" s="145"/>
    </row>
    <row r="129" spans="1:39" s="101" customFormat="1" ht="360" x14ac:dyDescent="0.2">
      <c r="C129" s="369" t="s">
        <v>2226</v>
      </c>
      <c r="D129" s="113" t="s">
        <v>2227</v>
      </c>
      <c r="E129" s="1" t="s">
        <v>476</v>
      </c>
      <c r="F129" s="145" t="s">
        <v>2228</v>
      </c>
      <c r="G129" s="1" t="s">
        <v>271</v>
      </c>
      <c r="H129" s="1" t="s">
        <v>510</v>
      </c>
      <c r="I129" s="1" t="s">
        <v>162</v>
      </c>
      <c r="J129" s="1" t="s">
        <v>1312</v>
      </c>
      <c r="K129" s="127">
        <v>45817</v>
      </c>
      <c r="L129" s="145" t="s">
        <v>2229</v>
      </c>
      <c r="M129" s="145" t="s">
        <v>2230</v>
      </c>
      <c r="N129" s="1" t="s">
        <v>490</v>
      </c>
      <c r="O129" s="1" t="s">
        <v>87</v>
      </c>
      <c r="P129" s="1" t="s">
        <v>87</v>
      </c>
      <c r="Q129" s="1"/>
      <c r="R129" s="2" t="s">
        <v>1223</v>
      </c>
      <c r="S129" s="1"/>
      <c r="T129" s="1" t="s">
        <v>1218</v>
      </c>
      <c r="U129" s="96" t="s">
        <v>1217</v>
      </c>
      <c r="V129" s="1" t="s">
        <v>1223</v>
      </c>
      <c r="W129" s="1"/>
      <c r="X129" s="1" t="s">
        <v>2231</v>
      </c>
      <c r="Y129" s="146" t="s">
        <v>2232</v>
      </c>
      <c r="Z129" s="1" t="s">
        <v>2233</v>
      </c>
      <c r="AA129" s="1"/>
      <c r="AB129" s="98">
        <v>6</v>
      </c>
      <c r="AC129" s="1" t="s">
        <v>1531</v>
      </c>
      <c r="AD129" s="1" t="s">
        <v>58</v>
      </c>
      <c r="AE129" s="146" t="s">
        <v>2234</v>
      </c>
      <c r="AF129" s="1" t="s">
        <v>857</v>
      </c>
      <c r="AG129" s="1"/>
      <c r="AH129" s="1" t="s">
        <v>251</v>
      </c>
      <c r="AI129" s="1"/>
      <c r="AJ129" s="98"/>
      <c r="AK129" s="32" t="s">
        <v>61</v>
      </c>
      <c r="AL129" s="145" t="s">
        <v>1946</v>
      </c>
      <c r="AM129" s="145" t="s">
        <v>2235</v>
      </c>
    </row>
    <row r="130" spans="1:39" s="101" customFormat="1" ht="195" x14ac:dyDescent="0.2">
      <c r="B130" s="79"/>
      <c r="C130" s="112" t="s">
        <v>2236</v>
      </c>
      <c r="D130" s="113" t="s">
        <v>2237</v>
      </c>
      <c r="E130" s="1" t="s">
        <v>255</v>
      </c>
      <c r="F130" s="145" t="s">
        <v>2238</v>
      </c>
      <c r="G130" s="1" t="s">
        <v>82</v>
      </c>
      <c r="H130" s="1" t="s">
        <v>161</v>
      </c>
      <c r="I130" s="1"/>
      <c r="J130" s="1" t="s">
        <v>1312</v>
      </c>
      <c r="K130" s="127">
        <v>45817</v>
      </c>
      <c r="L130" s="145" t="s">
        <v>2239</v>
      </c>
      <c r="M130" s="145" t="s">
        <v>2240</v>
      </c>
      <c r="N130" s="1" t="s">
        <v>2241</v>
      </c>
      <c r="O130" s="1" t="s">
        <v>87</v>
      </c>
      <c r="P130" s="1" t="s">
        <v>87</v>
      </c>
      <c r="Q130" s="1"/>
      <c r="R130" s="2" t="s">
        <v>1223</v>
      </c>
      <c r="S130" s="1"/>
      <c r="T130" s="1" t="s">
        <v>55</v>
      </c>
      <c r="U130" s="1"/>
      <c r="V130" s="1"/>
      <c r="W130" s="2" t="s">
        <v>2242</v>
      </c>
      <c r="X130" s="1" t="s">
        <v>278</v>
      </c>
      <c r="Y130" s="146" t="s">
        <v>2243</v>
      </c>
      <c r="Z130" s="1" t="s">
        <v>2244</v>
      </c>
      <c r="AA130" s="1"/>
      <c r="AB130" s="98"/>
      <c r="AC130" s="1" t="s">
        <v>1338</v>
      </c>
      <c r="AD130" s="1" t="s">
        <v>58</v>
      </c>
      <c r="AE130" s="146" t="s">
        <v>2245</v>
      </c>
      <c r="AF130" s="1" t="s">
        <v>857</v>
      </c>
      <c r="AG130" s="1"/>
      <c r="AH130" s="1"/>
      <c r="AI130" s="1"/>
      <c r="AJ130" s="98"/>
      <c r="AK130" s="32" t="s">
        <v>61</v>
      </c>
      <c r="AL130" s="145" t="s">
        <v>1946</v>
      </c>
      <c r="AM130" s="145" t="s">
        <v>2235</v>
      </c>
    </row>
    <row r="131" spans="1:39" s="101" customFormat="1" ht="409.5" x14ac:dyDescent="0.2">
      <c r="A131" s="104"/>
      <c r="C131" s="369" t="s">
        <v>2246</v>
      </c>
      <c r="D131" s="113" t="s">
        <v>2247</v>
      </c>
      <c r="E131" s="2" t="s">
        <v>446</v>
      </c>
      <c r="F131" s="215" t="s">
        <v>2248</v>
      </c>
      <c r="G131" s="2" t="s">
        <v>82</v>
      </c>
      <c r="H131" s="2" t="s">
        <v>161</v>
      </c>
      <c r="I131" s="2"/>
      <c r="J131" s="2" t="s">
        <v>1312</v>
      </c>
      <c r="K131" s="140">
        <v>45817</v>
      </c>
      <c r="L131" s="245" t="s">
        <v>2249</v>
      </c>
      <c r="M131" s="145" t="s">
        <v>2250</v>
      </c>
      <c r="N131" s="2" t="s">
        <v>2251</v>
      </c>
      <c r="O131" s="2" t="s">
        <v>135</v>
      </c>
      <c r="P131" s="2"/>
      <c r="Q131" s="2" t="s">
        <v>197</v>
      </c>
      <c r="R131" s="2" t="s">
        <v>1223</v>
      </c>
      <c r="S131" s="2"/>
      <c r="T131" s="2" t="s">
        <v>1218</v>
      </c>
      <c r="U131" s="96" t="s">
        <v>1217</v>
      </c>
      <c r="V131" s="2" t="s">
        <v>1223</v>
      </c>
      <c r="W131" s="2"/>
      <c r="X131" s="2" t="s">
        <v>2252</v>
      </c>
      <c r="Y131" s="276" t="s">
        <v>2253</v>
      </c>
      <c r="Z131" s="2"/>
      <c r="AA131" s="2" t="s">
        <v>1225</v>
      </c>
      <c r="AB131" s="2"/>
      <c r="AC131" s="2" t="s">
        <v>2254</v>
      </c>
      <c r="AD131" s="2" t="s">
        <v>147</v>
      </c>
      <c r="AE131" s="276" t="s">
        <v>2253</v>
      </c>
      <c r="AF131" s="2" t="s">
        <v>857</v>
      </c>
      <c r="AG131" s="2"/>
      <c r="AH131" s="2"/>
      <c r="AI131" s="2"/>
      <c r="AJ131" s="2"/>
      <c r="AK131" s="32" t="s">
        <v>61</v>
      </c>
      <c r="AL131" s="145" t="s">
        <v>1946</v>
      </c>
      <c r="AM131" s="145" t="s">
        <v>2255</v>
      </c>
    </row>
    <row r="132" spans="1:39" s="104" customFormat="1" ht="409.5" x14ac:dyDescent="0.2">
      <c r="B132" s="148"/>
      <c r="C132" s="115" t="s">
        <v>2246</v>
      </c>
      <c r="D132" s="113" t="s">
        <v>2256</v>
      </c>
      <c r="E132" s="90" t="s">
        <v>446</v>
      </c>
      <c r="F132" s="144" t="s">
        <v>2257</v>
      </c>
      <c r="G132" s="90" t="s">
        <v>82</v>
      </c>
      <c r="H132" s="90" t="s">
        <v>161</v>
      </c>
      <c r="I132" s="90"/>
      <c r="J132" s="90" t="s">
        <v>1312</v>
      </c>
      <c r="K132" s="132">
        <v>45817</v>
      </c>
      <c r="L132" s="191" t="s">
        <v>2249</v>
      </c>
      <c r="M132" s="144" t="s">
        <v>2250</v>
      </c>
      <c r="N132" s="90" t="s">
        <v>2251</v>
      </c>
      <c r="O132" s="1" t="s">
        <v>51</v>
      </c>
      <c r="P132" s="90"/>
      <c r="Q132" s="90"/>
      <c r="R132" s="90" t="s">
        <v>1223</v>
      </c>
      <c r="S132" s="90"/>
      <c r="T132" s="1" t="s">
        <v>55</v>
      </c>
      <c r="U132" s="90"/>
      <c r="V132" s="2"/>
      <c r="W132" s="1" t="s">
        <v>2258</v>
      </c>
      <c r="X132" s="90" t="s">
        <v>2252</v>
      </c>
      <c r="Y132" s="277" t="s">
        <v>2259</v>
      </c>
      <c r="Z132" s="90"/>
      <c r="AA132" s="90"/>
      <c r="AB132" s="90"/>
      <c r="AC132" s="1" t="s">
        <v>2260</v>
      </c>
      <c r="AD132" s="1" t="s">
        <v>58</v>
      </c>
      <c r="AE132" s="1" t="s">
        <v>2261</v>
      </c>
      <c r="AF132" s="1" t="s">
        <v>2262</v>
      </c>
      <c r="AG132" s="2"/>
      <c r="AH132" s="2"/>
      <c r="AI132" s="2"/>
      <c r="AJ132" s="2"/>
      <c r="AK132" s="32" t="s">
        <v>61</v>
      </c>
      <c r="AL132" s="145"/>
      <c r="AM132" s="145"/>
    </row>
    <row r="133" spans="1:39" s="101" customFormat="1" ht="90" x14ac:dyDescent="0.2">
      <c r="C133" s="112" t="s">
        <v>292</v>
      </c>
      <c r="D133" s="113" t="s">
        <v>1311</v>
      </c>
      <c r="E133" s="107" t="s">
        <v>294</v>
      </c>
      <c r="F133" s="145" t="s">
        <v>295</v>
      </c>
      <c r="G133" s="1" t="s">
        <v>82</v>
      </c>
      <c r="H133" s="1" t="s">
        <v>161</v>
      </c>
      <c r="I133" s="1" t="s">
        <v>297</v>
      </c>
      <c r="J133" s="2" t="s">
        <v>1312</v>
      </c>
      <c r="K133" s="140">
        <v>45817</v>
      </c>
      <c r="L133" s="145" t="s">
        <v>299</v>
      </c>
      <c r="M133" s="145" t="s">
        <v>300</v>
      </c>
      <c r="N133" s="1" t="s">
        <v>301</v>
      </c>
      <c r="O133" s="1" t="s">
        <v>135</v>
      </c>
      <c r="P133" s="1"/>
      <c r="Q133" s="1"/>
      <c r="R133" s="1" t="s">
        <v>1313</v>
      </c>
      <c r="S133" s="1"/>
      <c r="T133" s="1"/>
      <c r="U133" s="1"/>
      <c r="V133" s="1"/>
      <c r="W133" s="1"/>
      <c r="X133" s="1" t="s">
        <v>303</v>
      </c>
      <c r="Y133" s="146" t="s">
        <v>304</v>
      </c>
      <c r="Z133" s="1" t="s">
        <v>1314</v>
      </c>
      <c r="AA133" s="1"/>
      <c r="AB133" s="98"/>
      <c r="AC133" s="1" t="s">
        <v>1315</v>
      </c>
      <c r="AD133" s="1" t="s">
        <v>109</v>
      </c>
      <c r="AE133" s="146" t="s">
        <v>304</v>
      </c>
      <c r="AF133" s="1" t="s">
        <v>574</v>
      </c>
      <c r="AG133" s="1"/>
      <c r="AH133" s="1"/>
      <c r="AI133" s="1"/>
      <c r="AJ133" s="98"/>
      <c r="AK133" s="147"/>
      <c r="AL133" s="145"/>
      <c r="AM133" s="145"/>
    </row>
    <row r="134" spans="1:39" s="101" customFormat="1" ht="165" x14ac:dyDescent="0.2">
      <c r="C134" s="369" t="s">
        <v>2263</v>
      </c>
      <c r="D134" s="113" t="s">
        <v>2264</v>
      </c>
      <c r="E134" s="6" t="s">
        <v>255</v>
      </c>
      <c r="F134" s="135" t="s">
        <v>2265</v>
      </c>
      <c r="G134" s="3" t="s">
        <v>1227</v>
      </c>
      <c r="H134" s="3" t="s">
        <v>510</v>
      </c>
      <c r="I134" s="3" t="s">
        <v>46</v>
      </c>
      <c r="J134" s="3" t="s">
        <v>2266</v>
      </c>
      <c r="K134" s="139"/>
      <c r="L134" s="135" t="s">
        <v>2267</v>
      </c>
      <c r="M134" s="135" t="s">
        <v>2268</v>
      </c>
      <c r="N134" s="3"/>
      <c r="O134" s="3" t="s">
        <v>135</v>
      </c>
      <c r="P134" s="3" t="s">
        <v>123</v>
      </c>
      <c r="Q134" s="3" t="s">
        <v>197</v>
      </c>
      <c r="R134" s="84" t="s">
        <v>1223</v>
      </c>
      <c r="S134" s="3"/>
      <c r="T134" s="3" t="s">
        <v>1218</v>
      </c>
      <c r="U134" s="96" t="s">
        <v>1217</v>
      </c>
      <c r="V134" s="2" t="s">
        <v>1223</v>
      </c>
      <c r="W134" s="3"/>
      <c r="X134" s="3" t="s">
        <v>1435</v>
      </c>
      <c r="Y134" s="135" t="s">
        <v>2269</v>
      </c>
      <c r="Z134" s="3" t="s">
        <v>2270</v>
      </c>
      <c r="AA134" s="3" t="s">
        <v>1225</v>
      </c>
      <c r="AB134" s="8"/>
      <c r="AC134" s="3" t="s">
        <v>1338</v>
      </c>
      <c r="AD134" s="3" t="s">
        <v>58</v>
      </c>
      <c r="AE134" s="135" t="s">
        <v>2269</v>
      </c>
      <c r="AF134" s="3" t="s">
        <v>574</v>
      </c>
      <c r="AG134" s="1"/>
      <c r="AH134" s="1"/>
      <c r="AI134" s="1"/>
      <c r="AJ134" s="98"/>
      <c r="AK134" s="32" t="s">
        <v>61</v>
      </c>
      <c r="AL134" s="145"/>
      <c r="AM134" s="145"/>
    </row>
    <row r="135" spans="1:39" s="101" customFormat="1" ht="135" x14ac:dyDescent="0.2">
      <c r="C135" s="369" t="s">
        <v>2271</v>
      </c>
      <c r="D135" s="113" t="s">
        <v>2272</v>
      </c>
      <c r="E135" s="6" t="s">
        <v>476</v>
      </c>
      <c r="F135" s="135" t="s">
        <v>2273</v>
      </c>
      <c r="G135" s="3" t="s">
        <v>1227</v>
      </c>
      <c r="H135" s="3" t="s">
        <v>161</v>
      </c>
      <c r="I135" s="3" t="s">
        <v>46</v>
      </c>
      <c r="J135" s="3" t="s">
        <v>99</v>
      </c>
      <c r="K135" s="139">
        <v>45817</v>
      </c>
      <c r="L135" s="135" t="s">
        <v>2274</v>
      </c>
      <c r="M135" s="135" t="s">
        <v>2275</v>
      </c>
      <c r="N135" s="3" t="s">
        <v>135</v>
      </c>
      <c r="O135" s="3" t="s">
        <v>135</v>
      </c>
      <c r="P135" s="3" t="s">
        <v>123</v>
      </c>
      <c r="Q135" s="3" t="s">
        <v>647</v>
      </c>
      <c r="R135" s="84" t="s">
        <v>1223</v>
      </c>
      <c r="S135" s="3"/>
      <c r="T135" s="3" t="s">
        <v>1218</v>
      </c>
      <c r="U135" s="96" t="s">
        <v>1217</v>
      </c>
      <c r="V135" s="2" t="s">
        <v>1223</v>
      </c>
      <c r="W135" s="3"/>
      <c r="X135" s="3" t="s">
        <v>1668</v>
      </c>
      <c r="Y135" s="143" t="s">
        <v>2276</v>
      </c>
      <c r="Z135" s="3" t="s">
        <v>2277</v>
      </c>
      <c r="AA135" s="3" t="s">
        <v>252</v>
      </c>
      <c r="AB135" s="8">
        <v>45817</v>
      </c>
      <c r="AC135" s="83" t="s">
        <v>2137</v>
      </c>
      <c r="AD135" s="3" t="s">
        <v>58</v>
      </c>
      <c r="AE135" s="135" t="s">
        <v>2278</v>
      </c>
      <c r="AF135" s="3" t="s">
        <v>2279</v>
      </c>
      <c r="AG135" s="1"/>
      <c r="AH135" s="1"/>
      <c r="AI135" s="1"/>
      <c r="AJ135" s="98"/>
      <c r="AK135" s="32" t="s">
        <v>61</v>
      </c>
      <c r="AL135" s="145"/>
      <c r="AM135" s="145"/>
    </row>
    <row r="136" spans="1:39" s="101" customFormat="1" ht="255" x14ac:dyDescent="0.2">
      <c r="B136" s="269"/>
      <c r="C136" s="369" t="s">
        <v>2280</v>
      </c>
      <c r="D136" s="113"/>
      <c r="E136" s="6" t="s">
        <v>813</v>
      </c>
      <c r="F136" s="135" t="s">
        <v>2281</v>
      </c>
      <c r="G136" s="3" t="s">
        <v>82</v>
      </c>
      <c r="H136" s="3" t="s">
        <v>285</v>
      </c>
      <c r="I136" s="3" t="s">
        <v>46</v>
      </c>
      <c r="J136" s="3" t="s">
        <v>2266</v>
      </c>
      <c r="K136" s="139">
        <v>45817</v>
      </c>
      <c r="L136" s="135" t="s">
        <v>2282</v>
      </c>
      <c r="M136" s="135" t="s">
        <v>2283</v>
      </c>
      <c r="N136" s="3" t="s">
        <v>2284</v>
      </c>
      <c r="O136" s="3" t="s">
        <v>2285</v>
      </c>
      <c r="P136" s="3" t="s">
        <v>1232</v>
      </c>
      <c r="Q136" s="3" t="s">
        <v>647</v>
      </c>
      <c r="R136" s="84" t="s">
        <v>1223</v>
      </c>
      <c r="S136" s="3"/>
      <c r="T136" s="3" t="s">
        <v>1218</v>
      </c>
      <c r="U136" s="96" t="s">
        <v>1217</v>
      </c>
      <c r="V136" s="2" t="s">
        <v>1223</v>
      </c>
      <c r="W136" s="3"/>
      <c r="X136" s="3" t="s">
        <v>1435</v>
      </c>
      <c r="Y136" s="278" t="s">
        <v>2286</v>
      </c>
      <c r="Z136" s="3" t="s">
        <v>2287</v>
      </c>
      <c r="AA136" s="3" t="s">
        <v>1225</v>
      </c>
      <c r="AB136" s="8"/>
      <c r="AC136" s="3" t="s">
        <v>1338</v>
      </c>
      <c r="AD136" s="3" t="s">
        <v>58</v>
      </c>
      <c r="AE136" s="278" t="s">
        <v>2288</v>
      </c>
      <c r="AF136" s="3" t="s">
        <v>135</v>
      </c>
      <c r="AG136" s="1"/>
      <c r="AH136" s="1"/>
      <c r="AI136" s="1"/>
      <c r="AJ136" s="98"/>
      <c r="AK136" s="32" t="s">
        <v>61</v>
      </c>
      <c r="AL136" s="145"/>
      <c r="AM136" s="145"/>
    </row>
    <row r="137" spans="1:39" s="101" customFormat="1" ht="270" x14ac:dyDescent="0.2">
      <c r="B137" s="148"/>
      <c r="C137" s="112" t="s">
        <v>2289</v>
      </c>
      <c r="D137" s="113"/>
      <c r="E137" s="250" t="s">
        <v>325</v>
      </c>
      <c r="F137" s="135" t="s">
        <v>2290</v>
      </c>
      <c r="G137" s="3" t="s">
        <v>82</v>
      </c>
      <c r="H137" s="3" t="s">
        <v>285</v>
      </c>
      <c r="I137" s="3"/>
      <c r="J137" s="3" t="s">
        <v>2266</v>
      </c>
      <c r="K137" s="139">
        <v>45817</v>
      </c>
      <c r="L137" s="135" t="s">
        <v>2291</v>
      </c>
      <c r="M137" s="135" t="s">
        <v>2292</v>
      </c>
      <c r="N137" s="3" t="s">
        <v>2293</v>
      </c>
      <c r="O137" s="3" t="s">
        <v>2294</v>
      </c>
      <c r="P137" s="3" t="s">
        <v>1232</v>
      </c>
      <c r="Q137" s="3" t="s">
        <v>647</v>
      </c>
      <c r="R137" s="99" t="s">
        <v>1261</v>
      </c>
      <c r="S137" s="3"/>
      <c r="T137" s="3" t="s">
        <v>55</v>
      </c>
      <c r="U137" s="3"/>
      <c r="V137" s="2"/>
      <c r="W137" s="3" t="s">
        <v>2295</v>
      </c>
      <c r="X137" s="3" t="s">
        <v>1435</v>
      </c>
      <c r="Y137" s="143" t="s">
        <v>2296</v>
      </c>
      <c r="Z137" s="3" t="s">
        <v>2297</v>
      </c>
      <c r="AA137" s="3" t="s">
        <v>1225</v>
      </c>
      <c r="AB137" s="8"/>
      <c r="AC137" s="83" t="s">
        <v>1438</v>
      </c>
      <c r="AD137" s="3" t="s">
        <v>58</v>
      </c>
      <c r="AE137" s="135" t="s">
        <v>2298</v>
      </c>
      <c r="AF137" s="3" t="s">
        <v>135</v>
      </c>
      <c r="AG137" s="1"/>
      <c r="AH137" s="1"/>
      <c r="AI137" s="1"/>
      <c r="AJ137" s="98"/>
      <c r="AK137" s="32" t="s">
        <v>61</v>
      </c>
      <c r="AL137" s="145"/>
      <c r="AM137" s="145"/>
    </row>
    <row r="138" spans="1:39" s="101" customFormat="1" ht="240" x14ac:dyDescent="0.2">
      <c r="B138" s="148"/>
      <c r="C138" s="112" t="s">
        <v>2299</v>
      </c>
      <c r="D138" s="113"/>
      <c r="E138" s="250" t="s">
        <v>325</v>
      </c>
      <c r="F138" s="135" t="s">
        <v>2300</v>
      </c>
      <c r="G138" s="3" t="s">
        <v>82</v>
      </c>
      <c r="H138" s="3" t="s">
        <v>285</v>
      </c>
      <c r="I138" s="3"/>
      <c r="J138" s="3" t="s">
        <v>2266</v>
      </c>
      <c r="K138" s="139">
        <v>45817</v>
      </c>
      <c r="L138" s="135" t="s">
        <v>2301</v>
      </c>
      <c r="M138" s="135" t="s">
        <v>2302</v>
      </c>
      <c r="N138" s="3" t="s">
        <v>2293</v>
      </c>
      <c r="O138" s="3" t="s">
        <v>2303</v>
      </c>
      <c r="P138" s="3" t="s">
        <v>1232</v>
      </c>
      <c r="Q138" s="3" t="s">
        <v>647</v>
      </c>
      <c r="R138" s="99" t="s">
        <v>1261</v>
      </c>
      <c r="S138" s="3"/>
      <c r="T138" s="3" t="s">
        <v>55</v>
      </c>
      <c r="U138" s="3"/>
      <c r="V138" s="2"/>
      <c r="W138" s="3" t="s">
        <v>2295</v>
      </c>
      <c r="X138" s="3" t="s">
        <v>1435</v>
      </c>
      <c r="Y138" s="143" t="s">
        <v>2304</v>
      </c>
      <c r="Z138" s="3" t="s">
        <v>2305</v>
      </c>
      <c r="AA138" s="3" t="s">
        <v>1225</v>
      </c>
      <c r="AB138" s="8"/>
      <c r="AC138" s="83" t="s">
        <v>1438</v>
      </c>
      <c r="AD138" s="3" t="s">
        <v>58</v>
      </c>
      <c r="AE138" s="143" t="s">
        <v>2306</v>
      </c>
      <c r="AF138" s="3" t="s">
        <v>135</v>
      </c>
      <c r="AG138" s="1"/>
      <c r="AH138" s="1"/>
      <c r="AI138" s="1"/>
      <c r="AJ138" s="98"/>
      <c r="AK138" s="32" t="s">
        <v>61</v>
      </c>
      <c r="AL138" s="145"/>
      <c r="AM138" s="145"/>
    </row>
    <row r="139" spans="1:39" s="101" customFormat="1" ht="296.25" customHeight="1" x14ac:dyDescent="0.2">
      <c r="B139" s="269"/>
      <c r="C139" s="369" t="s">
        <v>2307</v>
      </c>
      <c r="D139" s="113"/>
      <c r="E139" s="6" t="s">
        <v>503</v>
      </c>
      <c r="F139" s="135" t="s">
        <v>2308</v>
      </c>
      <c r="G139" s="3" t="s">
        <v>82</v>
      </c>
      <c r="H139" s="3" t="s">
        <v>285</v>
      </c>
      <c r="I139" s="3"/>
      <c r="J139" s="3" t="s">
        <v>2266</v>
      </c>
      <c r="K139" s="139">
        <v>45817</v>
      </c>
      <c r="L139" s="135" t="s">
        <v>2309</v>
      </c>
      <c r="M139" s="135" t="s">
        <v>2310</v>
      </c>
      <c r="N139" s="3" t="s">
        <v>2311</v>
      </c>
      <c r="O139" s="3" t="s">
        <v>2285</v>
      </c>
      <c r="P139" s="3" t="s">
        <v>1232</v>
      </c>
      <c r="Q139" s="3" t="s">
        <v>647</v>
      </c>
      <c r="R139" s="84" t="s">
        <v>1223</v>
      </c>
      <c r="S139" s="3"/>
      <c r="T139" s="3" t="s">
        <v>1218</v>
      </c>
      <c r="U139" s="96" t="s">
        <v>1217</v>
      </c>
      <c r="V139" s="2" t="s">
        <v>1223</v>
      </c>
      <c r="W139" s="3"/>
      <c r="X139" s="3" t="s">
        <v>1435</v>
      </c>
      <c r="Y139" s="279" t="s">
        <v>2312</v>
      </c>
      <c r="Z139" s="3" t="s">
        <v>2313</v>
      </c>
      <c r="AA139" s="3" t="s">
        <v>1225</v>
      </c>
      <c r="AB139" s="8"/>
      <c r="AC139" s="3" t="s">
        <v>1338</v>
      </c>
      <c r="AD139" s="3" t="s">
        <v>58</v>
      </c>
      <c r="AE139" s="181" t="s">
        <v>2314</v>
      </c>
      <c r="AF139" s="3" t="s">
        <v>135</v>
      </c>
      <c r="AG139" s="1"/>
      <c r="AH139" s="1"/>
      <c r="AI139" s="1"/>
      <c r="AJ139" s="98"/>
      <c r="AK139" s="32" t="s">
        <v>61</v>
      </c>
      <c r="AL139" s="145"/>
      <c r="AM139" s="145"/>
    </row>
    <row r="140" spans="1:39" s="101" customFormat="1" ht="364.5" x14ac:dyDescent="0.2">
      <c r="C140" s="369" t="s">
        <v>2315</v>
      </c>
      <c r="D140" s="113" t="s">
        <v>2316</v>
      </c>
      <c r="E140" s="6" t="s">
        <v>190</v>
      </c>
      <c r="F140" s="135" t="s">
        <v>2317</v>
      </c>
      <c r="G140" s="3" t="s">
        <v>97</v>
      </c>
      <c r="H140" s="3" t="s">
        <v>243</v>
      </c>
      <c r="I140" s="3" t="s">
        <v>46</v>
      </c>
      <c r="J140" s="3" t="s">
        <v>2318</v>
      </c>
      <c r="K140" s="139">
        <v>45827</v>
      </c>
      <c r="L140" s="135" t="s">
        <v>2319</v>
      </c>
      <c r="M140" s="135" t="s">
        <v>2320</v>
      </c>
      <c r="N140" s="3" t="s">
        <v>2321</v>
      </c>
      <c r="O140" s="3" t="s">
        <v>2322</v>
      </c>
      <c r="P140" s="3" t="s">
        <v>123</v>
      </c>
      <c r="Q140" s="3"/>
      <c r="R140" s="84" t="s">
        <v>1617</v>
      </c>
      <c r="S140" s="3"/>
      <c r="T140" s="3" t="s">
        <v>89</v>
      </c>
      <c r="U140" s="96" t="s">
        <v>1405</v>
      </c>
      <c r="V140" s="3" t="s">
        <v>1233</v>
      </c>
      <c r="W140" s="3" t="s">
        <v>2323</v>
      </c>
      <c r="X140" s="3" t="s">
        <v>2324</v>
      </c>
      <c r="Y140" s="280" t="s">
        <v>2325</v>
      </c>
      <c r="Z140" s="3" t="s">
        <v>2326</v>
      </c>
      <c r="AA140" s="3" t="s">
        <v>252</v>
      </c>
      <c r="AB140" s="8">
        <v>45827</v>
      </c>
      <c r="AC140" s="83" t="s">
        <v>2327</v>
      </c>
      <c r="AD140" s="3" t="s">
        <v>58</v>
      </c>
      <c r="AE140" s="135" t="s">
        <v>2328</v>
      </c>
      <c r="AF140" s="3" t="s">
        <v>135</v>
      </c>
      <c r="AG140" s="1"/>
      <c r="AH140" s="1"/>
      <c r="AI140" s="1"/>
      <c r="AJ140" s="98"/>
      <c r="AK140" s="32" t="s">
        <v>61</v>
      </c>
      <c r="AL140" s="88"/>
      <c r="AM140" s="88"/>
    </row>
    <row r="141" spans="1:39" s="101" customFormat="1" ht="364.5" x14ac:dyDescent="0.2">
      <c r="C141" s="115" t="s">
        <v>2315</v>
      </c>
      <c r="D141" s="116" t="s">
        <v>2329</v>
      </c>
      <c r="E141" s="90" t="s">
        <v>190</v>
      </c>
      <c r="F141" s="144" t="s">
        <v>2330</v>
      </c>
      <c r="G141" s="90" t="s">
        <v>97</v>
      </c>
      <c r="H141" s="90" t="s">
        <v>243</v>
      </c>
      <c r="I141" s="90" t="s">
        <v>46</v>
      </c>
      <c r="J141" s="90" t="s">
        <v>2318</v>
      </c>
      <c r="K141" s="132">
        <v>45827</v>
      </c>
      <c r="L141" s="144" t="s">
        <v>2319</v>
      </c>
      <c r="M141" s="144" t="s">
        <v>2331</v>
      </c>
      <c r="N141" s="221" t="s">
        <v>2321</v>
      </c>
      <c r="O141" s="90" t="s">
        <v>2332</v>
      </c>
      <c r="P141" s="90" t="s">
        <v>123</v>
      </c>
      <c r="Q141" s="90"/>
      <c r="R141" s="89" t="s">
        <v>1617</v>
      </c>
      <c r="S141" s="90"/>
      <c r="T141" s="90" t="s">
        <v>89</v>
      </c>
      <c r="U141" s="96" t="s">
        <v>1405</v>
      </c>
      <c r="V141" s="90" t="s">
        <v>1233</v>
      </c>
      <c r="W141" s="90" t="s">
        <v>2333</v>
      </c>
      <c r="X141" s="90" t="s">
        <v>2334</v>
      </c>
      <c r="Y141" s="149" t="s">
        <v>2335</v>
      </c>
      <c r="Z141" s="90" t="s">
        <v>2336</v>
      </c>
      <c r="AA141" s="90" t="s">
        <v>252</v>
      </c>
      <c r="AB141" s="103">
        <v>45827</v>
      </c>
      <c r="AC141" s="83" t="s">
        <v>1860</v>
      </c>
      <c r="AD141" s="3" t="s">
        <v>109</v>
      </c>
      <c r="AE141" s="135" t="s">
        <v>2337</v>
      </c>
      <c r="AF141" s="3" t="s">
        <v>135</v>
      </c>
      <c r="AG141" s="1"/>
      <c r="AH141" s="1"/>
      <c r="AI141" s="1"/>
      <c r="AJ141" s="98"/>
      <c r="AK141" s="32"/>
      <c r="AL141" s="88"/>
      <c r="AM141" s="88"/>
    </row>
    <row r="142" spans="1:39" s="101" customFormat="1" ht="364.5" x14ac:dyDescent="0.2">
      <c r="C142" s="115" t="s">
        <v>2315</v>
      </c>
      <c r="D142" s="116" t="s">
        <v>2338</v>
      </c>
      <c r="E142" s="221" t="s">
        <v>190</v>
      </c>
      <c r="F142" s="144" t="s">
        <v>2317</v>
      </c>
      <c r="G142" s="221" t="s">
        <v>97</v>
      </c>
      <c r="H142" s="221" t="s">
        <v>243</v>
      </c>
      <c r="I142" s="221" t="s">
        <v>46</v>
      </c>
      <c r="J142" s="221" t="s">
        <v>2318</v>
      </c>
      <c r="K142" s="281">
        <v>45827</v>
      </c>
      <c r="L142" s="282" t="s">
        <v>2319</v>
      </c>
      <c r="M142" s="282" t="s">
        <v>2331</v>
      </c>
      <c r="N142" s="221" t="s">
        <v>2321</v>
      </c>
      <c r="O142" s="221" t="s">
        <v>2332</v>
      </c>
      <c r="P142" s="221" t="s">
        <v>123</v>
      </c>
      <c r="Q142" s="221"/>
      <c r="R142" s="283" t="s">
        <v>1617</v>
      </c>
      <c r="S142" s="221"/>
      <c r="T142" s="221" t="s">
        <v>89</v>
      </c>
      <c r="U142" s="96" t="s">
        <v>1405</v>
      </c>
      <c r="V142" s="221" t="s">
        <v>1233</v>
      </c>
      <c r="W142" s="221" t="s">
        <v>2333</v>
      </c>
      <c r="X142" s="221" t="s">
        <v>2334</v>
      </c>
      <c r="Y142" s="284" t="s">
        <v>2335</v>
      </c>
      <c r="Z142" s="221" t="s">
        <v>2336</v>
      </c>
      <c r="AA142" s="221" t="s">
        <v>252</v>
      </c>
      <c r="AB142" s="285">
        <v>45827</v>
      </c>
      <c r="AC142" s="83" t="s">
        <v>1860</v>
      </c>
      <c r="AD142" s="3" t="s">
        <v>147</v>
      </c>
      <c r="AE142" s="135" t="s">
        <v>2339</v>
      </c>
      <c r="AF142" s="3" t="s">
        <v>135</v>
      </c>
      <c r="AG142" s="1"/>
      <c r="AH142" s="1"/>
      <c r="AI142" s="1"/>
      <c r="AJ142" s="98"/>
      <c r="AK142" s="32"/>
      <c r="AL142" s="88"/>
      <c r="AM142" s="88"/>
    </row>
    <row r="143" spans="1:39" s="101" customFormat="1" ht="409.5" x14ac:dyDescent="0.2">
      <c r="B143" s="101" t="s">
        <v>1316</v>
      </c>
      <c r="C143" s="112" t="s">
        <v>305</v>
      </c>
      <c r="D143" s="113" t="s">
        <v>1317</v>
      </c>
      <c r="E143" s="6" t="s">
        <v>307</v>
      </c>
      <c r="F143" s="135" t="s">
        <v>308</v>
      </c>
      <c r="G143" s="3" t="s">
        <v>97</v>
      </c>
      <c r="H143" s="3" t="s">
        <v>161</v>
      </c>
      <c r="I143" s="107" t="s">
        <v>46</v>
      </c>
      <c r="J143" s="100" t="s">
        <v>99</v>
      </c>
      <c r="K143" s="140">
        <v>45831</v>
      </c>
      <c r="L143" s="135" t="s">
        <v>310</v>
      </c>
      <c r="M143" s="6" t="s">
        <v>1318</v>
      </c>
      <c r="N143" s="3" t="s">
        <v>312</v>
      </c>
      <c r="O143" s="3" t="s">
        <v>313</v>
      </c>
      <c r="P143" s="3" t="s">
        <v>73</v>
      </c>
      <c r="Q143" s="3" t="s">
        <v>314</v>
      </c>
      <c r="R143" s="84" t="s">
        <v>1261</v>
      </c>
      <c r="S143" s="3"/>
      <c r="T143" s="3" t="s">
        <v>89</v>
      </c>
      <c r="U143" s="3"/>
      <c r="V143" s="3"/>
      <c r="W143" s="3"/>
      <c r="X143" s="3" t="s">
        <v>316</v>
      </c>
      <c r="Y143" s="143" t="s">
        <v>1319</v>
      </c>
      <c r="Z143" s="3" t="s">
        <v>1320</v>
      </c>
      <c r="AA143" s="3" t="s">
        <v>252</v>
      </c>
      <c r="AB143" s="8">
        <v>45832</v>
      </c>
      <c r="AC143" s="83" t="s">
        <v>1321</v>
      </c>
      <c r="AD143" s="3" t="s">
        <v>58</v>
      </c>
      <c r="AE143" s="143" t="s">
        <v>1322</v>
      </c>
      <c r="AF143" s="3" t="s">
        <v>574</v>
      </c>
      <c r="AG143" s="1"/>
      <c r="AH143" s="1"/>
      <c r="AI143" s="1"/>
      <c r="AJ143" s="98"/>
      <c r="AK143" s="32"/>
      <c r="AL143" s="88"/>
      <c r="AM143" s="88"/>
    </row>
    <row r="144" spans="1:39" s="101" customFormat="1" ht="409.5" x14ac:dyDescent="0.2">
      <c r="B144" s="101" t="s">
        <v>1316</v>
      </c>
      <c r="C144" s="115" t="s">
        <v>305</v>
      </c>
      <c r="D144" s="116" t="s">
        <v>1317</v>
      </c>
      <c r="E144" s="90" t="s">
        <v>307</v>
      </c>
      <c r="F144" s="144" t="s">
        <v>1323</v>
      </c>
      <c r="G144" s="90" t="s">
        <v>97</v>
      </c>
      <c r="H144" s="90" t="s">
        <v>161</v>
      </c>
      <c r="I144" s="89" t="s">
        <v>46</v>
      </c>
      <c r="J144" s="90" t="s">
        <v>99</v>
      </c>
      <c r="K144" s="132">
        <v>45831</v>
      </c>
      <c r="L144" s="144" t="s">
        <v>320</v>
      </c>
      <c r="M144" s="90" t="s">
        <v>321</v>
      </c>
      <c r="N144" s="90" t="s">
        <v>312</v>
      </c>
      <c r="O144" s="90" t="s">
        <v>313</v>
      </c>
      <c r="P144" s="90" t="s">
        <v>73</v>
      </c>
      <c r="Q144" s="90" t="s">
        <v>314</v>
      </c>
      <c r="R144" s="89" t="s">
        <v>1261</v>
      </c>
      <c r="S144" s="90"/>
      <c r="T144" s="90" t="s">
        <v>89</v>
      </c>
      <c r="U144" s="90"/>
      <c r="V144" s="90"/>
      <c r="W144" s="90"/>
      <c r="X144" s="90" t="s">
        <v>316</v>
      </c>
      <c r="Y144" s="149" t="s">
        <v>322</v>
      </c>
      <c r="Z144" s="90" t="s">
        <v>1320</v>
      </c>
      <c r="AA144" s="90" t="s">
        <v>252</v>
      </c>
      <c r="AB144" s="103">
        <v>45832</v>
      </c>
      <c r="AC144" s="83" t="s">
        <v>1321</v>
      </c>
      <c r="AD144" s="3" t="s">
        <v>109</v>
      </c>
      <c r="AE144" s="143" t="s">
        <v>1322</v>
      </c>
      <c r="AF144" s="3" t="s">
        <v>574</v>
      </c>
      <c r="AG144" s="1"/>
      <c r="AH144" s="1"/>
      <c r="AI144" s="1"/>
      <c r="AJ144" s="98"/>
      <c r="AK144" s="32"/>
      <c r="AL144" s="88"/>
      <c r="AM144" s="88"/>
    </row>
    <row r="145" spans="1:42" s="101" customFormat="1" ht="153.75" customHeight="1" x14ac:dyDescent="0.2">
      <c r="B145" s="79"/>
      <c r="C145" s="365" t="s">
        <v>2340</v>
      </c>
      <c r="D145" s="106" t="s">
        <v>2341</v>
      </c>
      <c r="E145" s="107" t="s">
        <v>139</v>
      </c>
      <c r="F145" s="110" t="s">
        <v>2342</v>
      </c>
      <c r="G145" s="83" t="s">
        <v>97</v>
      </c>
      <c r="H145" s="100" t="s">
        <v>98</v>
      </c>
      <c r="I145" s="107" t="s">
        <v>46</v>
      </c>
      <c r="J145" s="100" t="s">
        <v>99</v>
      </c>
      <c r="K145" s="140">
        <v>45831</v>
      </c>
      <c r="L145" s="141" t="s">
        <v>2343</v>
      </c>
      <c r="M145" s="6" t="s">
        <v>2344</v>
      </c>
      <c r="N145" s="3" t="s">
        <v>2345</v>
      </c>
      <c r="O145" s="83" t="s">
        <v>2346</v>
      </c>
      <c r="P145" s="3" t="s">
        <v>73</v>
      </c>
      <c r="Q145" s="3" t="s">
        <v>197</v>
      </c>
      <c r="R145" s="99" t="s">
        <v>1617</v>
      </c>
      <c r="S145" s="3"/>
      <c r="T145" s="3" t="s">
        <v>89</v>
      </c>
      <c r="U145" s="96" t="s">
        <v>1405</v>
      </c>
      <c r="V145" s="3" t="s">
        <v>1233</v>
      </c>
      <c r="W145" s="35" t="s">
        <v>135</v>
      </c>
      <c r="X145" s="136" t="s">
        <v>2347</v>
      </c>
      <c r="Y145" s="83" t="s">
        <v>2348</v>
      </c>
      <c r="Z145" s="83" t="s">
        <v>2349</v>
      </c>
      <c r="AA145" s="3" t="s">
        <v>252</v>
      </c>
      <c r="AB145" s="8">
        <v>45831</v>
      </c>
      <c r="AC145" s="83" t="s">
        <v>2350</v>
      </c>
      <c r="AD145" s="83" t="s">
        <v>2351</v>
      </c>
      <c r="AE145" s="83" t="s">
        <v>2352</v>
      </c>
      <c r="AF145" s="83" t="s">
        <v>2353</v>
      </c>
      <c r="AG145" s="1"/>
      <c r="AH145" s="1"/>
      <c r="AI145" s="1"/>
      <c r="AJ145" s="98"/>
      <c r="AK145" s="32"/>
      <c r="AL145" s="88"/>
      <c r="AM145" s="88"/>
    </row>
    <row r="146" spans="1:42" s="101" customFormat="1" ht="151.5" customHeight="1" x14ac:dyDescent="0.2">
      <c r="B146" s="269"/>
      <c r="C146" s="118" t="s">
        <v>2340</v>
      </c>
      <c r="D146" s="119" t="s">
        <v>2354</v>
      </c>
      <c r="E146" s="286" t="s">
        <v>139</v>
      </c>
      <c r="F146" s="287" t="s">
        <v>2342</v>
      </c>
      <c r="G146" s="286" t="s">
        <v>97</v>
      </c>
      <c r="H146" s="228" t="s">
        <v>98</v>
      </c>
      <c r="I146" s="286" t="s">
        <v>46</v>
      </c>
      <c r="J146" s="228" t="s">
        <v>99</v>
      </c>
      <c r="K146" s="288">
        <v>45831</v>
      </c>
      <c r="L146" s="289" t="s">
        <v>2355</v>
      </c>
      <c r="M146" s="122" t="s">
        <v>2344</v>
      </c>
      <c r="N146" s="122" t="s">
        <v>2345</v>
      </c>
      <c r="O146" s="121" t="s">
        <v>2346</v>
      </c>
      <c r="P146" s="122" t="s">
        <v>73</v>
      </c>
      <c r="Q146" s="122" t="s">
        <v>197</v>
      </c>
      <c r="R146" s="290" t="s">
        <v>1617</v>
      </c>
      <c r="S146" s="122"/>
      <c r="T146" s="122" t="s">
        <v>89</v>
      </c>
      <c r="U146" s="96" t="s">
        <v>1405</v>
      </c>
      <c r="V146" s="228" t="s">
        <v>1233</v>
      </c>
      <c r="W146" s="291" t="s">
        <v>135</v>
      </c>
      <c r="X146" s="136" t="s">
        <v>2347</v>
      </c>
      <c r="Y146" s="83" t="s">
        <v>2356</v>
      </c>
      <c r="Z146" s="83" t="s">
        <v>2357</v>
      </c>
      <c r="AA146" s="6" t="s">
        <v>252</v>
      </c>
      <c r="AB146" s="134">
        <v>45831</v>
      </c>
      <c r="AC146" s="83" t="s">
        <v>2350</v>
      </c>
      <c r="AD146" s="83" t="s">
        <v>2358</v>
      </c>
      <c r="AE146" s="83" t="s">
        <v>2359</v>
      </c>
      <c r="AF146" s="83" t="s">
        <v>2353</v>
      </c>
      <c r="AG146" s="1"/>
      <c r="AH146" s="1"/>
      <c r="AI146" s="1"/>
      <c r="AJ146" s="1"/>
      <c r="AK146" s="32" t="s">
        <v>61</v>
      </c>
      <c r="AL146" s="88"/>
      <c r="AM146" s="88"/>
    </row>
    <row r="147" spans="1:42" s="101" customFormat="1" ht="151.5" customHeight="1" x14ac:dyDescent="0.2">
      <c r="B147" s="269"/>
      <c r="C147" s="118" t="s">
        <v>2340</v>
      </c>
      <c r="D147" s="119" t="s">
        <v>2354</v>
      </c>
      <c r="E147" s="286" t="s">
        <v>139</v>
      </c>
      <c r="F147" s="287" t="s">
        <v>2360</v>
      </c>
      <c r="G147" s="286" t="s">
        <v>97</v>
      </c>
      <c r="H147" s="228" t="s">
        <v>98</v>
      </c>
      <c r="I147" s="286" t="s">
        <v>46</v>
      </c>
      <c r="J147" s="228" t="s">
        <v>99</v>
      </c>
      <c r="K147" s="288">
        <v>45831</v>
      </c>
      <c r="L147" s="289" t="s">
        <v>2355</v>
      </c>
      <c r="M147" s="228" t="s">
        <v>2344</v>
      </c>
      <c r="N147" s="228" t="s">
        <v>2345</v>
      </c>
      <c r="O147" s="286" t="s">
        <v>2346</v>
      </c>
      <c r="P147" s="228" t="s">
        <v>73</v>
      </c>
      <c r="Q147" s="228" t="s">
        <v>197</v>
      </c>
      <c r="R147" s="292" t="s">
        <v>1617</v>
      </c>
      <c r="S147" s="228"/>
      <c r="T147" s="228" t="s">
        <v>89</v>
      </c>
      <c r="U147" s="96" t="s">
        <v>1405</v>
      </c>
      <c r="V147" s="228" t="s">
        <v>1233</v>
      </c>
      <c r="W147" s="291" t="s">
        <v>135</v>
      </c>
      <c r="X147" s="136" t="s">
        <v>2347</v>
      </c>
      <c r="Y147" s="83" t="s">
        <v>2361</v>
      </c>
      <c r="Z147" s="83" t="s">
        <v>2357</v>
      </c>
      <c r="AA147" s="6" t="s">
        <v>252</v>
      </c>
      <c r="AB147" s="134">
        <v>45831</v>
      </c>
      <c r="AC147" s="83" t="s">
        <v>2362</v>
      </c>
      <c r="AD147" s="83" t="s">
        <v>147</v>
      </c>
      <c r="AE147" s="83" t="s">
        <v>2363</v>
      </c>
      <c r="AF147" s="83" t="s">
        <v>2353</v>
      </c>
      <c r="AG147" s="32" t="s">
        <v>61</v>
      </c>
      <c r="AH147" s="1"/>
      <c r="AI147" s="1"/>
      <c r="AJ147" s="1"/>
      <c r="AK147" s="32"/>
      <c r="AL147" s="88"/>
      <c r="AM147" s="88"/>
    </row>
    <row r="148" spans="1:42" s="271" customFormat="1" ht="151.5" customHeight="1" x14ac:dyDescent="0.2">
      <c r="B148" s="79"/>
      <c r="C148" s="137" t="s">
        <v>2364</v>
      </c>
      <c r="D148" s="138" t="s">
        <v>2365</v>
      </c>
      <c r="E148" s="84" t="s">
        <v>190</v>
      </c>
      <c r="F148" s="131" t="s">
        <v>2366</v>
      </c>
      <c r="G148" s="84" t="s">
        <v>271</v>
      </c>
      <c r="H148" s="3" t="s">
        <v>161</v>
      </c>
      <c r="I148" s="84" t="s">
        <v>162</v>
      </c>
      <c r="J148" s="3" t="s">
        <v>99</v>
      </c>
      <c r="K148" s="139">
        <v>45834</v>
      </c>
      <c r="L148" s="263" t="s">
        <v>2367</v>
      </c>
      <c r="M148" s="3" t="s">
        <v>2368</v>
      </c>
      <c r="N148" s="3" t="s">
        <v>135</v>
      </c>
      <c r="O148" s="84" t="s">
        <v>2369</v>
      </c>
      <c r="P148" s="3" t="s">
        <v>574</v>
      </c>
      <c r="Q148" s="3"/>
      <c r="R148" s="84"/>
      <c r="S148" s="3"/>
      <c r="T148" s="1" t="s">
        <v>55</v>
      </c>
      <c r="U148" s="3"/>
      <c r="V148" s="3"/>
      <c r="W148" s="1" t="s">
        <v>2370</v>
      </c>
      <c r="X148" s="135" t="s">
        <v>2371</v>
      </c>
      <c r="Y148" s="84" t="s">
        <v>2372</v>
      </c>
      <c r="Z148" s="84" t="s">
        <v>2373</v>
      </c>
      <c r="AA148" s="3" t="s">
        <v>1225</v>
      </c>
      <c r="AB148" s="8">
        <v>45834</v>
      </c>
      <c r="AC148" s="84" t="s">
        <v>2374</v>
      </c>
      <c r="AD148" s="84" t="s">
        <v>109</v>
      </c>
      <c r="AE148" s="84" t="s">
        <v>2375</v>
      </c>
      <c r="AF148" s="84" t="s">
        <v>2376</v>
      </c>
      <c r="AG148" s="3"/>
      <c r="AH148" s="3"/>
      <c r="AI148" s="3"/>
      <c r="AJ148" s="8"/>
      <c r="AK148" s="293"/>
      <c r="AL148" s="131"/>
      <c r="AM148" s="131"/>
    </row>
    <row r="149" spans="1:42" s="101" customFormat="1" ht="151.5" customHeight="1" x14ac:dyDescent="0.2">
      <c r="A149" s="104"/>
      <c r="B149" s="148"/>
      <c r="C149" s="105" t="s">
        <v>323</v>
      </c>
      <c r="D149" s="106" t="s">
        <v>324</v>
      </c>
      <c r="E149" s="107" t="s">
        <v>325</v>
      </c>
      <c r="F149" s="110" t="s">
        <v>1324</v>
      </c>
      <c r="G149" s="83" t="s">
        <v>44</v>
      </c>
      <c r="H149" s="100" t="s">
        <v>285</v>
      </c>
      <c r="I149" s="107" t="s">
        <v>260</v>
      </c>
      <c r="J149" s="3" t="s">
        <v>99</v>
      </c>
      <c r="K149" s="8">
        <v>45838</v>
      </c>
      <c r="L149" s="141" t="s">
        <v>328</v>
      </c>
      <c r="M149" s="6" t="s">
        <v>329</v>
      </c>
      <c r="N149" s="6" t="s">
        <v>330</v>
      </c>
      <c r="O149" s="83" t="s">
        <v>233</v>
      </c>
      <c r="P149" s="6" t="s">
        <v>73</v>
      </c>
      <c r="Q149" s="6"/>
      <c r="R149" s="99" t="s">
        <v>1261</v>
      </c>
      <c r="S149" s="6"/>
      <c r="T149" s="6" t="s">
        <v>89</v>
      </c>
      <c r="U149" s="6"/>
      <c r="V149" s="6"/>
      <c r="W149" s="35"/>
      <c r="X149" s="136" t="s">
        <v>90</v>
      </c>
      <c r="Y149" s="83" t="s">
        <v>332</v>
      </c>
      <c r="Z149" s="83" t="s">
        <v>1325</v>
      </c>
      <c r="AA149" s="6" t="s">
        <v>1225</v>
      </c>
      <c r="AB149" s="134">
        <v>45838</v>
      </c>
      <c r="AC149" s="83" t="s">
        <v>1326</v>
      </c>
      <c r="AD149" s="83" t="s">
        <v>109</v>
      </c>
      <c r="AE149" s="83" t="s">
        <v>1327</v>
      </c>
      <c r="AF149" s="83" t="s">
        <v>1328</v>
      </c>
      <c r="AG149" s="2"/>
      <c r="AH149" s="2"/>
      <c r="AI149" s="2"/>
      <c r="AJ149" s="150"/>
      <c r="AK149" s="32"/>
      <c r="AL149" s="111"/>
      <c r="AM149" s="111"/>
      <c r="AN149" s="104"/>
      <c r="AO149" s="104"/>
      <c r="AP149" s="104"/>
    </row>
    <row r="150" spans="1:42" s="101" customFormat="1" ht="151.5" customHeight="1" x14ac:dyDescent="0.2">
      <c r="A150" s="104"/>
      <c r="B150" s="148"/>
      <c r="C150" s="115" t="s">
        <v>323</v>
      </c>
      <c r="D150" s="116" t="s">
        <v>333</v>
      </c>
      <c r="E150" s="89" t="s">
        <v>325</v>
      </c>
      <c r="F150" s="151" t="s">
        <v>1329</v>
      </c>
      <c r="G150" s="89" t="s">
        <v>44</v>
      </c>
      <c r="H150" s="90" t="s">
        <v>285</v>
      </c>
      <c r="I150" s="89" t="s">
        <v>260</v>
      </c>
      <c r="J150" s="90" t="s">
        <v>99</v>
      </c>
      <c r="K150" s="103">
        <v>45838</v>
      </c>
      <c r="L150" s="133" t="s">
        <v>328</v>
      </c>
      <c r="M150" s="90" t="s">
        <v>329</v>
      </c>
      <c r="N150" s="90" t="s">
        <v>330</v>
      </c>
      <c r="O150" s="89" t="s">
        <v>233</v>
      </c>
      <c r="P150" s="90" t="s">
        <v>73</v>
      </c>
      <c r="Q150" s="90"/>
      <c r="R150" s="117" t="s">
        <v>1261</v>
      </c>
      <c r="S150" s="90"/>
      <c r="T150" s="90" t="s">
        <v>89</v>
      </c>
      <c r="U150" s="90"/>
      <c r="V150" s="90"/>
      <c r="W150" s="91"/>
      <c r="X150" s="144" t="s">
        <v>90</v>
      </c>
      <c r="Y150" s="89" t="s">
        <v>332</v>
      </c>
      <c r="Z150" s="89" t="s">
        <v>1325</v>
      </c>
      <c r="AA150" s="90" t="s">
        <v>1225</v>
      </c>
      <c r="AB150" s="103">
        <v>45838</v>
      </c>
      <c r="AC150" s="83" t="s">
        <v>1326</v>
      </c>
      <c r="AD150" s="83" t="s">
        <v>58</v>
      </c>
      <c r="AE150" s="83" t="s">
        <v>1327</v>
      </c>
      <c r="AF150" s="83" t="s">
        <v>1328</v>
      </c>
      <c r="AG150" s="2"/>
      <c r="AH150" s="2"/>
      <c r="AI150" s="2"/>
      <c r="AJ150" s="150"/>
      <c r="AK150" s="32"/>
      <c r="AL150" s="111"/>
      <c r="AM150" s="111"/>
      <c r="AN150" s="104"/>
      <c r="AO150" s="104"/>
      <c r="AP150" s="104"/>
    </row>
    <row r="151" spans="1:42" s="101" customFormat="1" ht="151.5" customHeight="1" x14ac:dyDescent="0.2">
      <c r="A151" s="104"/>
      <c r="C151" s="137" t="s">
        <v>2377</v>
      </c>
      <c r="D151" s="138" t="s">
        <v>2378</v>
      </c>
      <c r="E151" s="84" t="s">
        <v>813</v>
      </c>
      <c r="F151" s="131" t="s">
        <v>2379</v>
      </c>
      <c r="G151" s="84" t="s">
        <v>82</v>
      </c>
      <c r="H151" s="3" t="s">
        <v>98</v>
      </c>
      <c r="I151" s="84" t="s">
        <v>260</v>
      </c>
      <c r="J151" s="3" t="s">
        <v>99</v>
      </c>
      <c r="K151" s="8">
        <v>45838</v>
      </c>
      <c r="L151" s="263" t="s">
        <v>2380</v>
      </c>
      <c r="M151" s="3" t="s">
        <v>2381</v>
      </c>
      <c r="N151" s="3" t="s">
        <v>2382</v>
      </c>
      <c r="O151" s="99" t="s">
        <v>2383</v>
      </c>
      <c r="P151" s="3" t="s">
        <v>87</v>
      </c>
      <c r="Q151" s="3"/>
      <c r="R151" s="84" t="s">
        <v>1697</v>
      </c>
      <c r="S151" s="3"/>
      <c r="T151" s="3" t="s">
        <v>89</v>
      </c>
      <c r="U151" s="3"/>
      <c r="V151" s="3"/>
      <c r="W151" s="186"/>
      <c r="X151" s="135" t="s">
        <v>2384</v>
      </c>
      <c r="Y151" s="84" t="s">
        <v>2385</v>
      </c>
      <c r="Z151" s="84" t="s">
        <v>2386</v>
      </c>
      <c r="AA151" s="3" t="s">
        <v>252</v>
      </c>
      <c r="AB151" s="8">
        <v>45838</v>
      </c>
      <c r="AC151" s="84" t="s">
        <v>135</v>
      </c>
      <c r="AD151" s="84" t="s">
        <v>58</v>
      </c>
      <c r="AE151" s="84" t="s">
        <v>2385</v>
      </c>
      <c r="AF151" s="84" t="s">
        <v>135</v>
      </c>
      <c r="AG151" s="2"/>
      <c r="AH151" s="2"/>
      <c r="AI151" s="2"/>
      <c r="AJ151" s="150"/>
      <c r="AK151" s="32"/>
      <c r="AL151" s="111"/>
      <c r="AM151" s="111"/>
      <c r="AN151" s="104"/>
      <c r="AO151" s="104"/>
      <c r="AP151" s="104"/>
    </row>
    <row r="152" spans="1:42" s="101" customFormat="1" ht="151.5" customHeight="1" x14ac:dyDescent="0.2">
      <c r="A152" s="104"/>
      <c r="B152" s="79"/>
      <c r="C152" s="137" t="s">
        <v>2387</v>
      </c>
      <c r="D152" s="138" t="s">
        <v>2388</v>
      </c>
      <c r="E152" s="83" t="s">
        <v>476</v>
      </c>
      <c r="F152" s="110" t="s">
        <v>2389</v>
      </c>
      <c r="G152" s="83" t="s">
        <v>1227</v>
      </c>
      <c r="H152" s="6" t="s">
        <v>285</v>
      </c>
      <c r="I152" s="83" t="s">
        <v>46</v>
      </c>
      <c r="J152" s="6" t="s">
        <v>99</v>
      </c>
      <c r="K152" s="294">
        <v>45839</v>
      </c>
      <c r="L152" s="110" t="s">
        <v>2390</v>
      </c>
      <c r="M152" s="136" t="s">
        <v>2133</v>
      </c>
      <c r="N152" s="6" t="s">
        <v>135</v>
      </c>
      <c r="O152" s="83" t="s">
        <v>2391</v>
      </c>
      <c r="P152" s="6" t="s">
        <v>73</v>
      </c>
      <c r="Q152" s="6" t="s">
        <v>197</v>
      </c>
      <c r="R152" s="83" t="s">
        <v>1223</v>
      </c>
      <c r="S152" s="6"/>
      <c r="T152" s="1" t="s">
        <v>55</v>
      </c>
      <c r="U152" s="6"/>
      <c r="V152" s="6"/>
      <c r="W152" s="1" t="s">
        <v>2392</v>
      </c>
      <c r="X152" s="6" t="s">
        <v>1652</v>
      </c>
      <c r="Y152" s="143"/>
      <c r="Z152" s="83" t="s">
        <v>2136</v>
      </c>
      <c r="AA152" s="6" t="s">
        <v>1225</v>
      </c>
      <c r="AB152" s="134">
        <v>45800</v>
      </c>
      <c r="AC152" s="83" t="s">
        <v>2137</v>
      </c>
      <c r="AD152" s="83" t="s">
        <v>147</v>
      </c>
      <c r="AE152" s="143" t="s">
        <v>2393</v>
      </c>
      <c r="AF152" s="295" t="s">
        <v>2394</v>
      </c>
      <c r="AG152" s="2"/>
      <c r="AH152" s="2"/>
      <c r="AI152" s="2"/>
      <c r="AJ152" s="150"/>
      <c r="AK152" s="32"/>
      <c r="AL152" s="111"/>
      <c r="AM152" s="111"/>
      <c r="AN152" s="104"/>
      <c r="AO152" s="104"/>
      <c r="AP152" s="104"/>
    </row>
    <row r="153" spans="1:42" s="101" customFormat="1" ht="151.5" customHeight="1" x14ac:dyDescent="0.2">
      <c r="A153" s="104"/>
      <c r="B153" s="79"/>
      <c r="C153" s="137" t="s">
        <v>2395</v>
      </c>
      <c r="D153" s="138" t="s">
        <v>2396</v>
      </c>
      <c r="E153" s="83" t="s">
        <v>476</v>
      </c>
      <c r="F153" s="110" t="s">
        <v>2397</v>
      </c>
      <c r="G153" s="83" t="s">
        <v>1227</v>
      </c>
      <c r="H153" s="6" t="s">
        <v>285</v>
      </c>
      <c r="I153" s="83" t="s">
        <v>46</v>
      </c>
      <c r="J153" s="6" t="s">
        <v>99</v>
      </c>
      <c r="K153" s="294">
        <v>45839</v>
      </c>
      <c r="L153" s="110" t="s">
        <v>2398</v>
      </c>
      <c r="M153" s="136" t="s">
        <v>2133</v>
      </c>
      <c r="N153" s="6" t="s">
        <v>135</v>
      </c>
      <c r="O153" s="83" t="s">
        <v>481</v>
      </c>
      <c r="P153" s="6" t="s">
        <v>73</v>
      </c>
      <c r="Q153" s="6" t="s">
        <v>197</v>
      </c>
      <c r="R153" s="83"/>
      <c r="S153" s="6"/>
      <c r="T153" s="1" t="s">
        <v>55</v>
      </c>
      <c r="U153" s="6"/>
      <c r="V153" s="6"/>
      <c r="W153" s="2" t="s">
        <v>2392</v>
      </c>
      <c r="X153" s="6" t="s">
        <v>1652</v>
      </c>
      <c r="Y153" s="143" t="s">
        <v>2399</v>
      </c>
      <c r="Z153" s="83" t="s">
        <v>2136</v>
      </c>
      <c r="AA153" s="6" t="s">
        <v>1225</v>
      </c>
      <c r="AB153" s="134">
        <v>45800</v>
      </c>
      <c r="AC153" s="83" t="s">
        <v>2137</v>
      </c>
      <c r="AD153" s="83" t="s">
        <v>147</v>
      </c>
      <c r="AE153" s="143" t="s">
        <v>2400</v>
      </c>
      <c r="AF153" s="295" t="s">
        <v>2401</v>
      </c>
      <c r="AG153" s="2"/>
      <c r="AH153" s="2"/>
      <c r="AI153" s="2"/>
      <c r="AJ153" s="150"/>
      <c r="AK153" s="32"/>
      <c r="AL153" s="111"/>
      <c r="AM153" s="111"/>
      <c r="AN153" s="104"/>
      <c r="AO153" s="104"/>
      <c r="AP153" s="104"/>
    </row>
    <row r="154" spans="1:42" s="104" customFormat="1" ht="151.5" customHeight="1" x14ac:dyDescent="0.2">
      <c r="B154" s="269"/>
      <c r="C154" s="137" t="s">
        <v>2402</v>
      </c>
      <c r="D154" s="138" t="s">
        <v>2403</v>
      </c>
      <c r="E154" s="83" t="s">
        <v>446</v>
      </c>
      <c r="F154" s="110" t="s">
        <v>2404</v>
      </c>
      <c r="G154" s="83" t="s">
        <v>82</v>
      </c>
      <c r="H154" s="6" t="s">
        <v>285</v>
      </c>
      <c r="I154" s="83" t="s">
        <v>46</v>
      </c>
      <c r="J154" s="6" t="s">
        <v>99</v>
      </c>
      <c r="K154" s="294">
        <v>45842</v>
      </c>
      <c r="L154" s="110" t="s">
        <v>2404</v>
      </c>
      <c r="M154" s="136" t="s">
        <v>2405</v>
      </c>
      <c r="N154" s="6" t="s">
        <v>2406</v>
      </c>
      <c r="O154" s="83" t="s">
        <v>2407</v>
      </c>
      <c r="P154" s="6"/>
      <c r="Q154" s="6" t="s">
        <v>197</v>
      </c>
      <c r="R154" s="83"/>
      <c r="S154" s="6"/>
      <c r="T154" s="6" t="s">
        <v>55</v>
      </c>
      <c r="U154" s="6"/>
      <c r="V154" s="6"/>
      <c r="W154" s="35" t="s">
        <v>2408</v>
      </c>
      <c r="X154" s="6" t="s">
        <v>2409</v>
      </c>
      <c r="Y154" s="143" t="s">
        <v>2410</v>
      </c>
      <c r="Z154" s="83" t="s">
        <v>2411</v>
      </c>
      <c r="AA154" s="6" t="s">
        <v>1225</v>
      </c>
      <c r="AB154" s="134">
        <v>45845</v>
      </c>
      <c r="AC154" s="83" t="s">
        <v>1338</v>
      </c>
      <c r="AD154" s="83" t="s">
        <v>58</v>
      </c>
      <c r="AE154" s="143" t="s">
        <v>2412</v>
      </c>
      <c r="AF154" s="295" t="s">
        <v>135</v>
      </c>
      <c r="AG154" s="2"/>
      <c r="AH154" s="2"/>
      <c r="AI154" s="2"/>
      <c r="AJ154" s="150"/>
      <c r="AK154" s="32"/>
      <c r="AL154" s="111"/>
      <c r="AM154" s="111"/>
    </row>
    <row r="155" spans="1:42" s="104" customFormat="1" ht="151.5" customHeight="1" x14ac:dyDescent="0.2">
      <c r="B155" s="269"/>
      <c r="C155" s="367" t="s">
        <v>2413</v>
      </c>
      <c r="D155" s="296" t="s">
        <v>2414</v>
      </c>
      <c r="E155" s="83" t="s">
        <v>446</v>
      </c>
      <c r="F155" s="135" t="s">
        <v>2415</v>
      </c>
      <c r="G155" s="83" t="s">
        <v>82</v>
      </c>
      <c r="H155" s="6" t="s">
        <v>161</v>
      </c>
      <c r="I155" s="83" t="s">
        <v>46</v>
      </c>
      <c r="J155" s="297" t="s">
        <v>99</v>
      </c>
      <c r="K155" s="298">
        <v>45860</v>
      </c>
      <c r="L155" s="110" t="s">
        <v>2416</v>
      </c>
      <c r="M155" s="136" t="s">
        <v>2417</v>
      </c>
      <c r="N155" s="6" t="s">
        <v>135</v>
      </c>
      <c r="O155" s="249" t="s">
        <v>135</v>
      </c>
      <c r="P155" s="6"/>
      <c r="Q155" s="6" t="s">
        <v>647</v>
      </c>
      <c r="R155" s="83" t="s">
        <v>1336</v>
      </c>
      <c r="S155" s="6"/>
      <c r="T155" s="6" t="s">
        <v>89</v>
      </c>
      <c r="U155" s="100" t="s">
        <v>1461</v>
      </c>
      <c r="V155" s="6" t="s">
        <v>1233</v>
      </c>
      <c r="W155" s="35"/>
      <c r="X155" s="6" t="s">
        <v>1435</v>
      </c>
      <c r="Y155" s="143" t="s">
        <v>2418</v>
      </c>
      <c r="Z155" s="83" t="s">
        <v>2419</v>
      </c>
      <c r="AA155" s="6" t="s">
        <v>252</v>
      </c>
      <c r="AB155" s="299">
        <v>45860</v>
      </c>
      <c r="AC155" s="300" t="s">
        <v>1300</v>
      </c>
      <c r="AD155" s="300" t="s">
        <v>58</v>
      </c>
      <c r="AE155" s="143" t="s">
        <v>2420</v>
      </c>
      <c r="AF155" s="295" t="s">
        <v>135</v>
      </c>
      <c r="AG155" s="2"/>
      <c r="AH155" s="2"/>
      <c r="AI155" s="2"/>
      <c r="AJ155" s="150"/>
      <c r="AK155" s="32"/>
      <c r="AL155" s="111"/>
      <c r="AM155" s="111"/>
    </row>
    <row r="156" spans="1:42" s="104" customFormat="1" ht="151.5" customHeight="1" x14ac:dyDescent="0.2">
      <c r="B156" s="269"/>
      <c r="C156" s="367" t="s">
        <v>2421</v>
      </c>
      <c r="D156" s="296" t="s">
        <v>2422</v>
      </c>
      <c r="E156" s="301" t="s">
        <v>294</v>
      </c>
      <c r="F156" s="302" t="s">
        <v>2423</v>
      </c>
      <c r="G156" s="301" t="s">
        <v>2424</v>
      </c>
      <c r="H156" s="303" t="s">
        <v>98</v>
      </c>
      <c r="I156" s="301" t="s">
        <v>46</v>
      </c>
      <c r="J156" s="303" t="s">
        <v>99</v>
      </c>
      <c r="K156" s="304">
        <v>45860</v>
      </c>
      <c r="L156" s="305" t="s">
        <v>2425</v>
      </c>
      <c r="M156" s="303" t="s">
        <v>2426</v>
      </c>
      <c r="N156" s="301" t="s">
        <v>490</v>
      </c>
      <c r="O156" s="214" t="s">
        <v>1991</v>
      </c>
      <c r="P156" s="303" t="s">
        <v>123</v>
      </c>
      <c r="Q156" s="303" t="s">
        <v>647</v>
      </c>
      <c r="R156" s="303" t="s">
        <v>1336</v>
      </c>
      <c r="S156" s="306"/>
      <c r="T156" s="303" t="s">
        <v>89</v>
      </c>
      <c r="U156" s="100" t="s">
        <v>1461</v>
      </c>
      <c r="V156" s="301" t="s">
        <v>1233</v>
      </c>
      <c r="W156" s="303"/>
      <c r="X156" s="307" t="s">
        <v>303</v>
      </c>
      <c r="Y156" s="301" t="s">
        <v>2427</v>
      </c>
      <c r="Z156" s="301" t="s">
        <v>1993</v>
      </c>
      <c r="AA156" s="308" t="s">
        <v>252</v>
      </c>
      <c r="AB156" s="309">
        <v>45860</v>
      </c>
      <c r="AC156" s="310" t="s">
        <v>2428</v>
      </c>
      <c r="AD156" s="301" t="s">
        <v>109</v>
      </c>
      <c r="AE156" s="311" t="s">
        <v>2429</v>
      </c>
      <c r="AF156" s="312" t="s">
        <v>857</v>
      </c>
      <c r="AG156" s="303" t="s">
        <v>202</v>
      </c>
      <c r="AH156" s="303" t="s">
        <v>202</v>
      </c>
      <c r="AI156" s="3"/>
      <c r="AJ156" s="8"/>
      <c r="AK156" s="293" t="s">
        <v>2430</v>
      </c>
      <c r="AL156" s="111"/>
      <c r="AM156" s="111"/>
    </row>
    <row r="157" spans="1:42" s="104" customFormat="1" ht="151.5" customHeight="1" x14ac:dyDescent="0.2">
      <c r="B157" s="269"/>
      <c r="C157" s="367" t="s">
        <v>2431</v>
      </c>
      <c r="D157" s="296" t="s">
        <v>2432</v>
      </c>
      <c r="E157" s="313" t="s">
        <v>294</v>
      </c>
      <c r="F157" s="302" t="s">
        <v>2433</v>
      </c>
      <c r="G157" s="301" t="s">
        <v>82</v>
      </c>
      <c r="H157" s="303" t="s">
        <v>285</v>
      </c>
      <c r="I157" s="301" t="s">
        <v>46</v>
      </c>
      <c r="J157" s="303" t="s">
        <v>99</v>
      </c>
      <c r="K157" s="304">
        <v>45860</v>
      </c>
      <c r="L157" s="314" t="s">
        <v>2434</v>
      </c>
      <c r="M157" s="302" t="s">
        <v>2435</v>
      </c>
      <c r="N157" s="303" t="s">
        <v>2176</v>
      </c>
      <c r="O157" s="250" t="s">
        <v>1991</v>
      </c>
      <c r="P157" s="303" t="s">
        <v>73</v>
      </c>
      <c r="Q157" s="303" t="s">
        <v>197</v>
      </c>
      <c r="R157" s="297" t="s">
        <v>1336</v>
      </c>
      <c r="S157" s="297"/>
      <c r="T157" s="303" t="s">
        <v>89</v>
      </c>
      <c r="U157" s="100" t="s">
        <v>1461</v>
      </c>
      <c r="V157" s="303" t="s">
        <v>1233</v>
      </c>
      <c r="W157" s="306"/>
      <c r="X157" s="315" t="s">
        <v>303</v>
      </c>
      <c r="Y157" s="316" t="s">
        <v>2436</v>
      </c>
      <c r="Z157" s="301" t="s">
        <v>2179</v>
      </c>
      <c r="AA157" s="317" t="s">
        <v>252</v>
      </c>
      <c r="AB157" s="307">
        <v>45860</v>
      </c>
      <c r="AC157" s="318" t="s">
        <v>2428</v>
      </c>
      <c r="AD157" s="301" t="s">
        <v>109</v>
      </c>
      <c r="AE157" s="311" t="s">
        <v>2437</v>
      </c>
      <c r="AF157" s="312" t="s">
        <v>574</v>
      </c>
      <c r="AG157" s="319" t="s">
        <v>202</v>
      </c>
      <c r="AH157" s="319" t="s">
        <v>202</v>
      </c>
      <c r="AI157" s="3"/>
      <c r="AJ157" s="8"/>
      <c r="AK157" s="293" t="s">
        <v>61</v>
      </c>
      <c r="AL157" s="111"/>
      <c r="AM157" s="111"/>
    </row>
    <row r="158" spans="1:42" s="104" customFormat="1" ht="245.25" customHeight="1" x14ac:dyDescent="0.2">
      <c r="B158" s="269"/>
      <c r="C158" s="367" t="s">
        <v>2438</v>
      </c>
      <c r="D158" s="296" t="s">
        <v>2439</v>
      </c>
      <c r="E158" s="313" t="s">
        <v>2183</v>
      </c>
      <c r="F158" s="302" t="s">
        <v>2440</v>
      </c>
      <c r="G158" s="313" t="s">
        <v>271</v>
      </c>
      <c r="H158" s="297" t="s">
        <v>510</v>
      </c>
      <c r="I158" s="313" t="s">
        <v>46</v>
      </c>
      <c r="J158" s="297" t="s">
        <v>99</v>
      </c>
      <c r="K158" s="298">
        <v>45860</v>
      </c>
      <c r="L158" s="320" t="s">
        <v>2441</v>
      </c>
      <c r="M158" s="321" t="s">
        <v>2442</v>
      </c>
      <c r="N158" s="297" t="s">
        <v>2443</v>
      </c>
      <c r="O158" s="249" t="s">
        <v>135</v>
      </c>
      <c r="P158" s="297" t="s">
        <v>73</v>
      </c>
      <c r="Q158" s="297" t="s">
        <v>197</v>
      </c>
      <c r="R158" s="297" t="s">
        <v>1336</v>
      </c>
      <c r="S158" s="297"/>
      <c r="T158" s="297" t="s">
        <v>89</v>
      </c>
      <c r="U158" s="100" t="s">
        <v>1461</v>
      </c>
      <c r="V158" s="297" t="s">
        <v>1233</v>
      </c>
      <c r="W158" s="322"/>
      <c r="X158" s="323" t="s">
        <v>126</v>
      </c>
      <c r="Y158" s="280" t="s">
        <v>2444</v>
      </c>
      <c r="Z158" s="313" t="s">
        <v>2445</v>
      </c>
      <c r="AA158" s="324" t="s">
        <v>252</v>
      </c>
      <c r="AB158" s="315">
        <v>45860</v>
      </c>
      <c r="AC158" s="325" t="s">
        <v>2446</v>
      </c>
      <c r="AD158" s="313" t="s">
        <v>109</v>
      </c>
      <c r="AE158" s="326" t="s">
        <v>2447</v>
      </c>
      <c r="AF158" s="327" t="s">
        <v>574</v>
      </c>
      <c r="AG158" s="328" t="s">
        <v>202</v>
      </c>
      <c r="AH158" s="328" t="s">
        <v>202</v>
      </c>
      <c r="AI158" s="6"/>
      <c r="AJ158" s="134"/>
      <c r="AK158" s="293" t="s">
        <v>61</v>
      </c>
      <c r="AL158" s="111"/>
      <c r="AM158" s="111"/>
    </row>
    <row r="159" spans="1:42" s="104" customFormat="1" ht="151.5" customHeight="1" x14ac:dyDescent="0.2">
      <c r="B159" s="269"/>
      <c r="C159" s="367" t="s">
        <v>2448</v>
      </c>
      <c r="D159" s="296" t="s">
        <v>2449</v>
      </c>
      <c r="E159" s="313" t="s">
        <v>2450</v>
      </c>
      <c r="F159" s="302" t="s">
        <v>2451</v>
      </c>
      <c r="G159" s="313" t="s">
        <v>82</v>
      </c>
      <c r="H159" s="297" t="s">
        <v>510</v>
      </c>
      <c r="I159" s="313" t="s">
        <v>46</v>
      </c>
      <c r="J159" s="297" t="s">
        <v>99</v>
      </c>
      <c r="K159" s="298">
        <v>45860</v>
      </c>
      <c r="L159" s="320" t="s">
        <v>2452</v>
      </c>
      <c r="M159" s="321" t="s">
        <v>2453</v>
      </c>
      <c r="N159" s="297" t="s">
        <v>2454</v>
      </c>
      <c r="O159" s="249" t="s">
        <v>135</v>
      </c>
      <c r="P159" s="297" t="s">
        <v>73</v>
      </c>
      <c r="Q159" s="297" t="s">
        <v>197</v>
      </c>
      <c r="R159" s="297" t="s">
        <v>1336</v>
      </c>
      <c r="S159" s="297"/>
      <c r="T159" s="297" t="s">
        <v>89</v>
      </c>
      <c r="U159" s="100" t="s">
        <v>1461</v>
      </c>
      <c r="V159" s="297" t="s">
        <v>1233</v>
      </c>
      <c r="W159" s="322"/>
      <c r="X159" s="315" t="s">
        <v>126</v>
      </c>
      <c r="Y159" s="329" t="s">
        <v>2455</v>
      </c>
      <c r="Z159" s="313" t="s">
        <v>2456</v>
      </c>
      <c r="AA159" s="297" t="s">
        <v>252</v>
      </c>
      <c r="AB159" s="315">
        <v>45860</v>
      </c>
      <c r="AC159" s="318" t="s">
        <v>2457</v>
      </c>
      <c r="AD159" s="313" t="s">
        <v>109</v>
      </c>
      <c r="AE159" s="329" t="s">
        <v>2458</v>
      </c>
      <c r="AF159" s="327" t="s">
        <v>574</v>
      </c>
      <c r="AG159" s="328" t="s">
        <v>202</v>
      </c>
      <c r="AH159" s="328" t="s">
        <v>202</v>
      </c>
      <c r="AI159" s="6"/>
      <c r="AJ159" s="134"/>
      <c r="AK159" s="293" t="s">
        <v>61</v>
      </c>
      <c r="AL159" s="111"/>
      <c r="AM159" s="111"/>
    </row>
    <row r="160" spans="1:42" s="104" customFormat="1" ht="395.5" customHeight="1" x14ac:dyDescent="0.2">
      <c r="B160" s="213"/>
      <c r="C160" s="367" t="s">
        <v>2459</v>
      </c>
      <c r="D160" s="296" t="s">
        <v>2460</v>
      </c>
      <c r="E160" s="313" t="s">
        <v>446</v>
      </c>
      <c r="F160" s="302" t="s">
        <v>2461</v>
      </c>
      <c r="G160" s="313" t="s">
        <v>82</v>
      </c>
      <c r="H160" s="297" t="s">
        <v>285</v>
      </c>
      <c r="I160" s="313" t="s">
        <v>46</v>
      </c>
      <c r="J160" s="297" t="s">
        <v>99</v>
      </c>
      <c r="K160" s="298">
        <v>45860</v>
      </c>
      <c r="L160" s="320" t="s">
        <v>2462</v>
      </c>
      <c r="M160" s="321" t="s">
        <v>2463</v>
      </c>
      <c r="N160" s="297" t="s">
        <v>2464</v>
      </c>
      <c r="O160" s="249" t="s">
        <v>2465</v>
      </c>
      <c r="P160" s="297" t="s">
        <v>73</v>
      </c>
      <c r="Q160" s="297" t="s">
        <v>197</v>
      </c>
      <c r="R160" s="297" t="s">
        <v>1336</v>
      </c>
      <c r="S160" s="297"/>
      <c r="T160" s="297" t="s">
        <v>89</v>
      </c>
      <c r="U160" s="100" t="s">
        <v>1461</v>
      </c>
      <c r="V160" s="297" t="s">
        <v>1233</v>
      </c>
      <c r="W160" s="322"/>
      <c r="X160" s="323" t="s">
        <v>2466</v>
      </c>
      <c r="Y160" s="278" t="s">
        <v>2467</v>
      </c>
      <c r="Z160" s="313" t="s">
        <v>2468</v>
      </c>
      <c r="AA160" s="297" t="s">
        <v>1225</v>
      </c>
      <c r="AB160" s="315">
        <v>45860</v>
      </c>
      <c r="AC160" s="318" t="s">
        <v>2469</v>
      </c>
      <c r="AD160" s="313" t="s">
        <v>58</v>
      </c>
      <c r="AE160" s="329" t="s">
        <v>2470</v>
      </c>
      <c r="AF160" s="327" t="s">
        <v>490</v>
      </c>
      <c r="AG160" s="328" t="s">
        <v>202</v>
      </c>
      <c r="AH160" s="328" t="s">
        <v>202</v>
      </c>
      <c r="AI160" s="6"/>
      <c r="AJ160" s="134"/>
      <c r="AK160" s="293" t="s">
        <v>61</v>
      </c>
      <c r="AL160" s="111"/>
      <c r="AM160" s="111"/>
    </row>
    <row r="161" spans="2:39" s="104" customFormat="1" ht="151.5" customHeight="1" x14ac:dyDescent="0.2">
      <c r="B161" s="213"/>
      <c r="C161" s="115" t="s">
        <v>2459</v>
      </c>
      <c r="D161" s="116" t="s">
        <v>2471</v>
      </c>
      <c r="E161" s="330" t="s">
        <v>446</v>
      </c>
      <c r="F161" s="216" t="s">
        <v>2472</v>
      </c>
      <c r="G161" s="330" t="s">
        <v>82</v>
      </c>
      <c r="H161" s="217" t="s">
        <v>285</v>
      </c>
      <c r="I161" s="330" t="s">
        <v>46</v>
      </c>
      <c r="J161" s="217" t="s">
        <v>99</v>
      </c>
      <c r="K161" s="331">
        <v>45860</v>
      </c>
      <c r="L161" s="332" t="s">
        <v>2462</v>
      </c>
      <c r="M161" s="216" t="s">
        <v>2463</v>
      </c>
      <c r="N161" s="217" t="s">
        <v>2464</v>
      </c>
      <c r="O161" s="117" t="s">
        <v>2473</v>
      </c>
      <c r="P161" s="217" t="s">
        <v>73</v>
      </c>
      <c r="Q161" s="217" t="s">
        <v>197</v>
      </c>
      <c r="R161" s="217" t="s">
        <v>1336</v>
      </c>
      <c r="S161" s="217"/>
      <c r="T161" s="217" t="s">
        <v>89</v>
      </c>
      <c r="U161" s="218" t="s">
        <v>1461</v>
      </c>
      <c r="V161" s="217" t="s">
        <v>1233</v>
      </c>
      <c r="W161" s="333"/>
      <c r="X161" s="334" t="s">
        <v>2466</v>
      </c>
      <c r="Y161" s="335" t="s">
        <v>2474</v>
      </c>
      <c r="Z161" s="330" t="s">
        <v>2468</v>
      </c>
      <c r="AA161" s="217" t="s">
        <v>1225</v>
      </c>
      <c r="AB161" s="336">
        <v>45860</v>
      </c>
      <c r="AC161" s="318" t="s">
        <v>2475</v>
      </c>
      <c r="AD161" s="313" t="s">
        <v>58</v>
      </c>
      <c r="AE161" s="329" t="s">
        <v>2476</v>
      </c>
      <c r="AF161" s="327" t="s">
        <v>490</v>
      </c>
      <c r="AG161" s="328" t="s">
        <v>202</v>
      </c>
      <c r="AH161" s="328" t="s">
        <v>202</v>
      </c>
      <c r="AI161" s="6"/>
      <c r="AJ161" s="134"/>
      <c r="AK161" s="293" t="s">
        <v>61</v>
      </c>
      <c r="AL161" s="111"/>
      <c r="AM161" s="111"/>
    </row>
    <row r="162" spans="2:39" s="104" customFormat="1" ht="151.5" customHeight="1" x14ac:dyDescent="0.2">
      <c r="B162" s="213"/>
      <c r="C162" s="115" t="s">
        <v>2459</v>
      </c>
      <c r="D162" s="116" t="s">
        <v>2477</v>
      </c>
      <c r="E162" s="330" t="s">
        <v>446</v>
      </c>
      <c r="F162" s="216" t="s">
        <v>2472</v>
      </c>
      <c r="G162" s="330" t="s">
        <v>82</v>
      </c>
      <c r="H162" s="217" t="s">
        <v>285</v>
      </c>
      <c r="I162" s="330" t="s">
        <v>46</v>
      </c>
      <c r="J162" s="217" t="s">
        <v>99</v>
      </c>
      <c r="K162" s="331">
        <v>45860</v>
      </c>
      <c r="L162" s="332" t="s">
        <v>2462</v>
      </c>
      <c r="M162" s="216" t="s">
        <v>2463</v>
      </c>
      <c r="N162" s="217" t="s">
        <v>2464</v>
      </c>
      <c r="O162" s="117" t="s">
        <v>2473</v>
      </c>
      <c r="P162" s="217" t="s">
        <v>73</v>
      </c>
      <c r="Q162" s="217" t="s">
        <v>197</v>
      </c>
      <c r="R162" s="217" t="s">
        <v>1336</v>
      </c>
      <c r="S162" s="217"/>
      <c r="T162" s="217" t="s">
        <v>89</v>
      </c>
      <c r="U162" s="217" t="s">
        <v>1461</v>
      </c>
      <c r="V162" s="217" t="s">
        <v>1233</v>
      </c>
      <c r="W162" s="333"/>
      <c r="X162" s="334" t="s">
        <v>2466</v>
      </c>
      <c r="Y162" s="335" t="s">
        <v>2478</v>
      </c>
      <c r="Z162" s="330" t="s">
        <v>2468</v>
      </c>
      <c r="AA162" s="217" t="s">
        <v>252</v>
      </c>
      <c r="AB162" s="336">
        <v>45881</v>
      </c>
      <c r="AC162" s="318" t="s">
        <v>2479</v>
      </c>
      <c r="AD162" s="313" t="s">
        <v>58</v>
      </c>
      <c r="AE162" s="329" t="s">
        <v>2480</v>
      </c>
      <c r="AF162" s="327" t="s">
        <v>490</v>
      </c>
      <c r="AG162" s="328" t="s">
        <v>202</v>
      </c>
      <c r="AH162" s="328" t="s">
        <v>202</v>
      </c>
      <c r="AI162" s="6"/>
      <c r="AJ162" s="134"/>
      <c r="AK162" s="293"/>
      <c r="AL162" s="111"/>
      <c r="AM162" s="111"/>
    </row>
    <row r="163" spans="2:39" s="104" customFormat="1" ht="151.5" customHeight="1" x14ac:dyDescent="0.2">
      <c r="B163" s="269" t="s">
        <v>2481</v>
      </c>
      <c r="C163" s="115" t="s">
        <v>2459</v>
      </c>
      <c r="D163" s="116" t="s">
        <v>2482</v>
      </c>
      <c r="E163" s="330" t="s">
        <v>446</v>
      </c>
      <c r="F163" s="216" t="s">
        <v>2472</v>
      </c>
      <c r="G163" s="330" t="s">
        <v>82</v>
      </c>
      <c r="H163" s="217" t="s">
        <v>285</v>
      </c>
      <c r="I163" s="330" t="s">
        <v>46</v>
      </c>
      <c r="J163" s="217" t="s">
        <v>99</v>
      </c>
      <c r="K163" s="331">
        <v>45860</v>
      </c>
      <c r="L163" s="332" t="s">
        <v>2462</v>
      </c>
      <c r="M163" s="216" t="s">
        <v>2463</v>
      </c>
      <c r="N163" s="217" t="s">
        <v>2464</v>
      </c>
      <c r="O163" s="117" t="s">
        <v>2473</v>
      </c>
      <c r="P163" s="217" t="s">
        <v>73</v>
      </c>
      <c r="Q163" s="217" t="s">
        <v>197</v>
      </c>
      <c r="R163" s="217" t="s">
        <v>1336</v>
      </c>
      <c r="S163" s="217"/>
      <c r="T163" s="217" t="s">
        <v>55</v>
      </c>
      <c r="U163" s="217"/>
      <c r="V163" s="217"/>
      <c r="W163" s="337" t="s">
        <v>2483</v>
      </c>
      <c r="X163" s="334" t="s">
        <v>2466</v>
      </c>
      <c r="Y163" s="335" t="s">
        <v>2478</v>
      </c>
      <c r="Z163" s="330" t="s">
        <v>2468</v>
      </c>
      <c r="AA163" s="217" t="s">
        <v>252</v>
      </c>
      <c r="AB163" s="336">
        <v>45881</v>
      </c>
      <c r="AC163" s="318" t="s">
        <v>2484</v>
      </c>
      <c r="AD163" s="313" t="s">
        <v>58</v>
      </c>
      <c r="AE163" s="329" t="s">
        <v>2485</v>
      </c>
      <c r="AF163" s="327" t="s">
        <v>490</v>
      </c>
      <c r="AG163" s="328" t="s">
        <v>202</v>
      </c>
      <c r="AH163" s="328" t="s">
        <v>202</v>
      </c>
      <c r="AI163" s="6"/>
      <c r="AJ163" s="134"/>
      <c r="AK163" s="293"/>
      <c r="AL163" s="111"/>
      <c r="AM163" s="111"/>
    </row>
    <row r="164" spans="2:39" s="104" customFormat="1" ht="151.5" customHeight="1" x14ac:dyDescent="0.2">
      <c r="B164" s="269"/>
      <c r="C164" s="369" t="s">
        <v>2486</v>
      </c>
      <c r="D164" s="113" t="s">
        <v>2487</v>
      </c>
      <c r="E164" s="301" t="s">
        <v>476</v>
      </c>
      <c r="F164" s="135" t="s">
        <v>2488</v>
      </c>
      <c r="G164" s="301" t="s">
        <v>1227</v>
      </c>
      <c r="H164" s="303" t="s">
        <v>272</v>
      </c>
      <c r="I164" s="301" t="s">
        <v>46</v>
      </c>
      <c r="J164" s="303" t="s">
        <v>99</v>
      </c>
      <c r="K164" s="304">
        <v>45861</v>
      </c>
      <c r="L164" s="314" t="s">
        <v>2489</v>
      </c>
      <c r="M164" s="302" t="s">
        <v>2490</v>
      </c>
      <c r="N164" s="3" t="s">
        <v>135</v>
      </c>
      <c r="O164" s="3" t="s">
        <v>2491</v>
      </c>
      <c r="P164" s="3" t="s">
        <v>123</v>
      </c>
      <c r="Q164" s="3" t="s">
        <v>647</v>
      </c>
      <c r="R164" s="84" t="s">
        <v>1336</v>
      </c>
      <c r="S164" s="3"/>
      <c r="T164" s="3" t="s">
        <v>89</v>
      </c>
      <c r="U164" s="100" t="s">
        <v>1461</v>
      </c>
      <c r="V164" s="2" t="s">
        <v>1233</v>
      </c>
      <c r="W164" s="3"/>
      <c r="X164" s="3" t="s">
        <v>1668</v>
      </c>
      <c r="Y164" s="143" t="s">
        <v>2492</v>
      </c>
      <c r="Z164" s="3" t="s">
        <v>2493</v>
      </c>
      <c r="AA164" s="3" t="s">
        <v>252</v>
      </c>
      <c r="AB164" s="8">
        <v>45817</v>
      </c>
      <c r="AC164" s="83" t="s">
        <v>2137</v>
      </c>
      <c r="AD164" s="3" t="s">
        <v>58</v>
      </c>
      <c r="AE164" s="135" t="s">
        <v>2494</v>
      </c>
      <c r="AF164" s="3" t="s">
        <v>2495</v>
      </c>
      <c r="AG164" s="1"/>
      <c r="AH164" s="1"/>
      <c r="AI164" s="1"/>
      <c r="AJ164" s="98"/>
      <c r="AK164" s="32" t="s">
        <v>61</v>
      </c>
      <c r="AL164" s="111"/>
      <c r="AM164" s="111"/>
    </row>
    <row r="165" spans="2:39" s="104" customFormat="1" ht="108" customHeight="1" x14ac:dyDescent="0.2">
      <c r="B165" s="269" t="s">
        <v>2496</v>
      </c>
      <c r="C165" s="338" t="s">
        <v>2497</v>
      </c>
      <c r="D165" s="339" t="s">
        <v>2498</v>
      </c>
      <c r="E165" s="313" t="s">
        <v>476</v>
      </c>
      <c r="F165" s="135" t="s">
        <v>2499</v>
      </c>
      <c r="G165" s="313" t="s">
        <v>1227</v>
      </c>
      <c r="H165" s="297" t="s">
        <v>272</v>
      </c>
      <c r="I165" s="313" t="s">
        <v>46</v>
      </c>
      <c r="J165" s="297" t="s">
        <v>99</v>
      </c>
      <c r="K165" s="298">
        <v>45866</v>
      </c>
      <c r="L165" s="136" t="s">
        <v>2500</v>
      </c>
      <c r="M165" s="321" t="s">
        <v>2501</v>
      </c>
      <c r="N165" s="6" t="s">
        <v>135</v>
      </c>
      <c r="O165" s="250" t="s">
        <v>2491</v>
      </c>
      <c r="P165" s="6" t="s">
        <v>123</v>
      </c>
      <c r="Q165" s="6" t="s">
        <v>647</v>
      </c>
      <c r="R165" s="83"/>
      <c r="S165" s="6"/>
      <c r="T165" s="6" t="s">
        <v>55</v>
      </c>
      <c r="U165" s="6"/>
      <c r="V165" s="2"/>
      <c r="W165" s="6" t="s">
        <v>2502</v>
      </c>
      <c r="X165" s="6" t="s">
        <v>2503</v>
      </c>
      <c r="Y165" s="143" t="s">
        <v>2504</v>
      </c>
      <c r="Z165" s="6" t="s">
        <v>135</v>
      </c>
      <c r="AA165" s="6" t="s">
        <v>252</v>
      </c>
      <c r="AB165" s="134">
        <v>45866</v>
      </c>
      <c r="AC165" s="83" t="s">
        <v>2505</v>
      </c>
      <c r="AD165" s="6" t="s">
        <v>446</v>
      </c>
      <c r="AE165" s="136" t="s">
        <v>2506</v>
      </c>
      <c r="AF165" s="6" t="s">
        <v>135</v>
      </c>
      <c r="AG165" s="2"/>
      <c r="AH165" s="2"/>
      <c r="AI165" s="2"/>
      <c r="AJ165" s="150"/>
      <c r="AK165" s="32" t="s">
        <v>61</v>
      </c>
      <c r="AL165" s="111"/>
      <c r="AM165" s="111"/>
    </row>
    <row r="166" spans="2:39" s="104" customFormat="1" ht="151.5" customHeight="1" x14ac:dyDescent="0.2">
      <c r="B166" s="269" t="s">
        <v>2507</v>
      </c>
      <c r="C166" s="338" t="s">
        <v>2508</v>
      </c>
      <c r="D166" s="113" t="s">
        <v>2509</v>
      </c>
      <c r="E166" s="301" t="s">
        <v>255</v>
      </c>
      <c r="F166" s="135" t="s">
        <v>2510</v>
      </c>
      <c r="G166" s="301" t="s">
        <v>486</v>
      </c>
      <c r="H166" s="303" t="s">
        <v>161</v>
      </c>
      <c r="I166" s="301" t="s">
        <v>162</v>
      </c>
      <c r="J166" s="303" t="s">
        <v>1312</v>
      </c>
      <c r="K166" s="304">
        <v>45866</v>
      </c>
      <c r="L166" s="263" t="s">
        <v>2380</v>
      </c>
      <c r="M166" s="3" t="s">
        <v>2511</v>
      </c>
      <c r="N166" s="6" t="s">
        <v>135</v>
      </c>
      <c r="O166" s="6" t="s">
        <v>135</v>
      </c>
      <c r="P166" s="3" t="s">
        <v>87</v>
      </c>
      <c r="Q166" s="3"/>
      <c r="R166" s="84"/>
      <c r="S166" s="3"/>
      <c r="T166" s="3" t="s">
        <v>55</v>
      </c>
      <c r="U166" s="3"/>
      <c r="V166" s="2"/>
      <c r="W166" s="3" t="s">
        <v>2512</v>
      </c>
      <c r="X166" s="3"/>
      <c r="Y166" s="143"/>
      <c r="Z166" s="3"/>
      <c r="AA166" s="3"/>
      <c r="AB166" s="8"/>
      <c r="AC166" s="83"/>
      <c r="AD166" s="3"/>
      <c r="AE166" s="135"/>
      <c r="AF166" s="3"/>
      <c r="AG166" s="1"/>
      <c r="AH166" s="1"/>
      <c r="AI166" s="1"/>
      <c r="AJ166" s="98"/>
      <c r="AK166" s="32" t="s">
        <v>61</v>
      </c>
      <c r="AL166" s="111"/>
      <c r="AM166" s="111"/>
    </row>
    <row r="167" spans="2:39" s="104" customFormat="1" ht="151.5" customHeight="1" x14ac:dyDescent="0.2">
      <c r="B167" s="269"/>
      <c r="C167" s="369" t="s">
        <v>2513</v>
      </c>
      <c r="D167" s="113" t="s">
        <v>2514</v>
      </c>
      <c r="E167" s="301" t="s">
        <v>476</v>
      </c>
      <c r="F167" s="135" t="s">
        <v>2515</v>
      </c>
      <c r="G167" s="301" t="s">
        <v>486</v>
      </c>
      <c r="H167" s="297" t="s">
        <v>161</v>
      </c>
      <c r="I167" s="313" t="s">
        <v>162</v>
      </c>
      <c r="J167" s="303" t="s">
        <v>1312</v>
      </c>
      <c r="K167" s="304">
        <v>45869</v>
      </c>
      <c r="L167" s="263" t="s">
        <v>2516</v>
      </c>
      <c r="M167" s="3" t="s">
        <v>2517</v>
      </c>
      <c r="N167" s="6" t="s">
        <v>2518</v>
      </c>
      <c r="O167" s="6" t="s">
        <v>135</v>
      </c>
      <c r="P167" s="3" t="s">
        <v>87</v>
      </c>
      <c r="Q167" s="3"/>
      <c r="R167" s="83" t="s">
        <v>1233</v>
      </c>
      <c r="S167" s="3"/>
      <c r="T167" s="3"/>
      <c r="U167" s="100" t="s">
        <v>1461</v>
      </c>
      <c r="V167" s="2" t="s">
        <v>1233</v>
      </c>
      <c r="W167" s="3"/>
      <c r="X167" s="3" t="s">
        <v>2519</v>
      </c>
      <c r="Y167" s="143" t="s">
        <v>2520</v>
      </c>
      <c r="Z167" s="3"/>
      <c r="AA167" s="3"/>
      <c r="AB167" s="8">
        <v>45870</v>
      </c>
      <c r="AC167" s="3" t="s">
        <v>2519</v>
      </c>
      <c r="AD167" s="3"/>
      <c r="AE167" s="143" t="s">
        <v>2520</v>
      </c>
      <c r="AF167" s="3"/>
      <c r="AG167" s="1"/>
      <c r="AH167" s="1"/>
      <c r="AI167" s="1"/>
      <c r="AJ167" s="98"/>
      <c r="AK167" s="32"/>
      <c r="AL167" s="233"/>
      <c r="AM167" s="233"/>
    </row>
    <row r="168" spans="2:39" s="104" customFormat="1" ht="151.5" customHeight="1" x14ac:dyDescent="0.2">
      <c r="B168" s="269"/>
      <c r="C168" s="369" t="s">
        <v>2521</v>
      </c>
      <c r="D168" s="339" t="s">
        <v>2522</v>
      </c>
      <c r="E168" s="313" t="s">
        <v>255</v>
      </c>
      <c r="F168" s="135" t="s">
        <v>2523</v>
      </c>
      <c r="G168" s="313" t="s">
        <v>271</v>
      </c>
      <c r="H168" s="297" t="s">
        <v>161</v>
      </c>
      <c r="I168" s="313" t="s">
        <v>162</v>
      </c>
      <c r="J168" s="297" t="s">
        <v>1312</v>
      </c>
      <c r="K168" s="298">
        <v>45876</v>
      </c>
      <c r="L168" s="340" t="s">
        <v>2524</v>
      </c>
      <c r="M168" s="6" t="s">
        <v>2525</v>
      </c>
      <c r="N168" s="6" t="s">
        <v>2526</v>
      </c>
      <c r="O168" s="6" t="s">
        <v>135</v>
      </c>
      <c r="P168" s="6" t="s">
        <v>87</v>
      </c>
      <c r="Q168" s="6"/>
      <c r="R168" s="83" t="s">
        <v>1233</v>
      </c>
      <c r="S168" s="6"/>
      <c r="T168" s="6" t="s">
        <v>89</v>
      </c>
      <c r="U168" s="100" t="s">
        <v>1461</v>
      </c>
      <c r="V168" s="2" t="s">
        <v>1233</v>
      </c>
      <c r="W168" s="6"/>
      <c r="X168" s="6"/>
      <c r="Y168" s="143" t="s">
        <v>2527</v>
      </c>
      <c r="Z168" s="6" t="s">
        <v>2528</v>
      </c>
      <c r="AA168" s="6" t="s">
        <v>252</v>
      </c>
      <c r="AB168" s="134">
        <v>45887</v>
      </c>
      <c r="AC168" s="110" t="s">
        <v>1338</v>
      </c>
      <c r="AD168" s="6" t="s">
        <v>58</v>
      </c>
      <c r="AE168" s="143" t="s">
        <v>2527</v>
      </c>
      <c r="AF168" s="6"/>
      <c r="AG168" s="2"/>
      <c r="AH168" s="2"/>
      <c r="AI168" s="2"/>
      <c r="AJ168" s="150"/>
      <c r="AK168" s="32"/>
      <c r="AL168" s="233"/>
      <c r="AM168" s="233"/>
    </row>
    <row r="169" spans="2:39" s="104" customFormat="1" ht="151.5" customHeight="1" x14ac:dyDescent="0.2">
      <c r="B169" s="269"/>
      <c r="C169" s="369" t="s">
        <v>2529</v>
      </c>
      <c r="D169" s="339" t="s">
        <v>2530</v>
      </c>
      <c r="E169" s="313" t="s">
        <v>294</v>
      </c>
      <c r="F169" s="135" t="s">
        <v>2531</v>
      </c>
      <c r="G169" s="313" t="s">
        <v>82</v>
      </c>
      <c r="H169" s="297" t="s">
        <v>285</v>
      </c>
      <c r="I169" s="313" t="s">
        <v>46</v>
      </c>
      <c r="J169" s="297" t="s">
        <v>99</v>
      </c>
      <c r="K169" s="298">
        <v>45881</v>
      </c>
      <c r="L169" s="340" t="s">
        <v>2532</v>
      </c>
      <c r="M169" s="6" t="s">
        <v>2145</v>
      </c>
      <c r="N169" s="6" t="s">
        <v>2533</v>
      </c>
      <c r="O169" s="6" t="s">
        <v>2147</v>
      </c>
      <c r="P169" s="6" t="s">
        <v>73</v>
      </c>
      <c r="Q169" s="6"/>
      <c r="R169" s="83" t="s">
        <v>1336</v>
      </c>
      <c r="S169" s="6"/>
      <c r="T169" s="3" t="s">
        <v>89</v>
      </c>
      <c r="U169" s="100" t="s">
        <v>1461</v>
      </c>
      <c r="V169" s="2" t="s">
        <v>1233</v>
      </c>
      <c r="W169" s="6" t="s">
        <v>2534</v>
      </c>
      <c r="X169" s="6" t="s">
        <v>2535</v>
      </c>
      <c r="Y169" s="143" t="s">
        <v>2536</v>
      </c>
      <c r="Z169" s="6" t="s">
        <v>2537</v>
      </c>
      <c r="AA169" s="6" t="s">
        <v>2538</v>
      </c>
      <c r="AB169" s="134">
        <v>45881</v>
      </c>
      <c r="AC169" s="83" t="s">
        <v>2539</v>
      </c>
      <c r="AD169" s="6" t="s">
        <v>109</v>
      </c>
      <c r="AE169" s="136" t="s">
        <v>2540</v>
      </c>
      <c r="AF169" s="6" t="s">
        <v>2541</v>
      </c>
      <c r="AG169" s="341"/>
      <c r="AH169" s="341"/>
      <c r="AI169" s="341"/>
      <c r="AJ169" s="342"/>
      <c r="AK169" s="32"/>
      <c r="AL169" s="233"/>
      <c r="AM169" s="233"/>
    </row>
    <row r="170" spans="2:39" s="104" customFormat="1" ht="151.5" customHeight="1" x14ac:dyDescent="0.2">
      <c r="B170" s="269"/>
      <c r="C170" s="369" t="s">
        <v>2542</v>
      </c>
      <c r="D170" s="339" t="s">
        <v>2543</v>
      </c>
      <c r="E170" s="313" t="s">
        <v>139</v>
      </c>
      <c r="F170" s="135" t="s">
        <v>2544</v>
      </c>
      <c r="G170" s="313" t="s">
        <v>82</v>
      </c>
      <c r="H170" s="297" t="s">
        <v>285</v>
      </c>
      <c r="I170" s="313" t="s">
        <v>46</v>
      </c>
      <c r="J170" s="297" t="s">
        <v>99</v>
      </c>
      <c r="K170" s="298">
        <v>45881</v>
      </c>
      <c r="L170" s="340" t="s">
        <v>2545</v>
      </c>
      <c r="M170" s="6" t="s">
        <v>2546</v>
      </c>
      <c r="N170" s="6" t="s">
        <v>135</v>
      </c>
      <c r="O170" s="6" t="s">
        <v>2547</v>
      </c>
      <c r="P170" s="6" t="s">
        <v>857</v>
      </c>
      <c r="Q170" s="6"/>
      <c r="R170" s="249" t="s">
        <v>1336</v>
      </c>
      <c r="S170" s="6"/>
      <c r="T170" s="6" t="s">
        <v>89</v>
      </c>
      <c r="U170" s="100" t="s">
        <v>1461</v>
      </c>
      <c r="V170" s="2" t="s">
        <v>1233</v>
      </c>
      <c r="W170" s="6"/>
      <c r="X170" s="6" t="s">
        <v>446</v>
      </c>
      <c r="Y170" s="143"/>
      <c r="Z170" s="6" t="s">
        <v>2548</v>
      </c>
      <c r="AA170" s="6" t="s">
        <v>252</v>
      </c>
      <c r="AB170" s="134">
        <v>45881</v>
      </c>
      <c r="AC170" s="83"/>
      <c r="AD170" s="6"/>
      <c r="AE170" s="143"/>
      <c r="AF170" s="6"/>
      <c r="AG170" s="341"/>
      <c r="AH170" s="341"/>
      <c r="AI170" s="341"/>
      <c r="AJ170" s="342"/>
      <c r="AK170" s="32"/>
      <c r="AL170" s="233"/>
      <c r="AM170" s="233"/>
    </row>
    <row r="171" spans="2:39" s="104" customFormat="1" ht="300" x14ac:dyDescent="0.2">
      <c r="B171" s="269" t="s">
        <v>2507</v>
      </c>
      <c r="C171" s="338" t="s">
        <v>2549</v>
      </c>
      <c r="D171" s="339" t="s">
        <v>2550</v>
      </c>
      <c r="E171" s="313" t="s">
        <v>813</v>
      </c>
      <c r="F171" s="135" t="s">
        <v>2551</v>
      </c>
      <c r="G171" s="313" t="s">
        <v>97</v>
      </c>
      <c r="H171" s="297" t="e">
        <f>+B180+E171</f>
        <v>#VALUE!</v>
      </c>
      <c r="I171" s="313" t="s">
        <v>162</v>
      </c>
      <c r="J171" s="297" t="s">
        <v>1312</v>
      </c>
      <c r="K171" s="298">
        <v>45883</v>
      </c>
      <c r="L171" s="340" t="s">
        <v>2552</v>
      </c>
      <c r="M171" s="6" t="s">
        <v>2553</v>
      </c>
      <c r="N171" s="6" t="s">
        <v>2554</v>
      </c>
      <c r="O171" s="6"/>
      <c r="P171" s="6"/>
      <c r="Q171" s="6"/>
      <c r="R171" s="83" t="s">
        <v>1336</v>
      </c>
      <c r="S171" s="6"/>
      <c r="T171" s="6" t="s">
        <v>55</v>
      </c>
      <c r="U171" s="6"/>
      <c r="V171" s="2"/>
      <c r="W171" s="6" t="s">
        <v>2555</v>
      </c>
      <c r="X171" s="6"/>
      <c r="Y171" s="110" t="s">
        <v>2556</v>
      </c>
      <c r="Z171" s="6" t="s">
        <v>2557</v>
      </c>
      <c r="AA171" s="6" t="s">
        <v>252</v>
      </c>
      <c r="AB171" s="134">
        <v>45881</v>
      </c>
      <c r="AC171" s="83"/>
      <c r="AD171" s="6"/>
      <c r="AE171" s="110"/>
      <c r="AF171" s="6"/>
      <c r="AG171" s="341"/>
      <c r="AH171" s="341"/>
      <c r="AI171" s="341"/>
      <c r="AJ171" s="342"/>
      <c r="AK171" s="32"/>
      <c r="AL171" s="233"/>
      <c r="AM171" s="233"/>
    </row>
    <row r="172" spans="2:39" s="104" customFormat="1" ht="315" x14ac:dyDescent="0.2">
      <c r="B172" s="269" t="s">
        <v>2507</v>
      </c>
      <c r="C172" s="338" t="s">
        <v>2558</v>
      </c>
      <c r="D172" s="339" t="s">
        <v>2559</v>
      </c>
      <c r="E172" s="313" t="s">
        <v>813</v>
      </c>
      <c r="F172" s="135" t="s">
        <v>2560</v>
      </c>
      <c r="G172" s="313" t="s">
        <v>1227</v>
      </c>
      <c r="H172" s="297" t="s">
        <v>161</v>
      </c>
      <c r="I172" s="313" t="s">
        <v>162</v>
      </c>
      <c r="J172" s="297" t="s">
        <v>1312</v>
      </c>
      <c r="K172" s="298">
        <v>45887</v>
      </c>
      <c r="L172" s="340" t="s">
        <v>2561</v>
      </c>
      <c r="M172" s="6" t="s">
        <v>2562</v>
      </c>
      <c r="N172" s="6" t="s">
        <v>135</v>
      </c>
      <c r="O172" s="6"/>
      <c r="P172" s="6"/>
      <c r="Q172" s="6"/>
      <c r="R172" s="83"/>
      <c r="S172" s="6"/>
      <c r="T172" s="6" t="s">
        <v>55</v>
      </c>
      <c r="U172" s="6"/>
      <c r="V172" s="2"/>
      <c r="W172" s="6" t="s">
        <v>2563</v>
      </c>
      <c r="X172" s="6"/>
      <c r="Y172" s="110" t="s">
        <v>2564</v>
      </c>
      <c r="Z172" s="6"/>
      <c r="AA172" s="6" t="s">
        <v>252</v>
      </c>
      <c r="AB172" s="134">
        <v>45887</v>
      </c>
      <c r="AC172" s="110" t="s">
        <v>1338</v>
      </c>
      <c r="AD172" s="6" t="s">
        <v>58</v>
      </c>
      <c r="AE172" s="110" t="s">
        <v>2564</v>
      </c>
      <c r="AF172" s="134"/>
      <c r="AG172" s="341"/>
      <c r="AH172" s="341"/>
      <c r="AI172" s="341"/>
      <c r="AJ172" s="342"/>
      <c r="AK172" s="32"/>
      <c r="AL172" s="233"/>
      <c r="AM172" s="233"/>
    </row>
    <row r="173" spans="2:39" s="104" customFormat="1" ht="94.5" x14ac:dyDescent="0.2">
      <c r="B173" s="269"/>
      <c r="C173" s="369" t="s">
        <v>2565</v>
      </c>
      <c r="D173" s="339" t="s">
        <v>2566</v>
      </c>
      <c r="E173" s="313" t="s">
        <v>813</v>
      </c>
      <c r="F173" s="135" t="s">
        <v>2567</v>
      </c>
      <c r="G173" s="313" t="s">
        <v>271</v>
      </c>
      <c r="H173" s="297" t="s">
        <v>161</v>
      </c>
      <c r="I173" s="313" t="s">
        <v>162</v>
      </c>
      <c r="J173" s="297" t="s">
        <v>1312</v>
      </c>
      <c r="K173" s="298">
        <v>45887</v>
      </c>
      <c r="L173" s="340" t="s">
        <v>2568</v>
      </c>
      <c r="M173" s="6" t="s">
        <v>2569</v>
      </c>
      <c r="N173" s="6" t="s">
        <v>2570</v>
      </c>
      <c r="O173" s="6"/>
      <c r="P173" s="6"/>
      <c r="Q173" s="6"/>
      <c r="R173" s="83" t="s">
        <v>1336</v>
      </c>
      <c r="S173" s="6"/>
      <c r="T173" s="6" t="s">
        <v>89</v>
      </c>
      <c r="U173" s="100" t="s">
        <v>1461</v>
      </c>
      <c r="V173" s="2" t="s">
        <v>1233</v>
      </c>
      <c r="W173" s="6"/>
      <c r="X173" s="6"/>
      <c r="Y173" s="110" t="s">
        <v>2571</v>
      </c>
      <c r="Z173" s="6"/>
      <c r="AA173" s="6" t="s">
        <v>252</v>
      </c>
      <c r="AB173" s="134">
        <v>45887</v>
      </c>
      <c r="AC173" s="110" t="s">
        <v>1338</v>
      </c>
      <c r="AD173" s="6" t="s">
        <v>58</v>
      </c>
      <c r="AE173" s="110" t="s">
        <v>2572</v>
      </c>
      <c r="AF173" s="134"/>
      <c r="AG173" s="341"/>
      <c r="AH173" s="341"/>
      <c r="AI173" s="341"/>
      <c r="AJ173" s="342"/>
      <c r="AK173" s="32"/>
      <c r="AL173" s="233"/>
      <c r="AM173" s="233"/>
    </row>
    <row r="174" spans="2:39" s="104" customFormat="1" ht="121.5" customHeight="1" x14ac:dyDescent="0.2">
      <c r="B174" s="269"/>
      <c r="C174" s="369" t="s">
        <v>2573</v>
      </c>
      <c r="D174" s="339" t="s">
        <v>2574</v>
      </c>
      <c r="E174" s="313" t="s">
        <v>813</v>
      </c>
      <c r="F174" s="135" t="s">
        <v>2575</v>
      </c>
      <c r="G174" s="313" t="s">
        <v>271</v>
      </c>
      <c r="H174" s="297" t="s">
        <v>161</v>
      </c>
      <c r="I174" s="313" t="s">
        <v>162</v>
      </c>
      <c r="J174" s="297" t="s">
        <v>1312</v>
      </c>
      <c r="K174" s="298">
        <v>45887</v>
      </c>
      <c r="L174" s="340" t="s">
        <v>2576</v>
      </c>
      <c r="M174" s="6" t="s">
        <v>2577</v>
      </c>
      <c r="N174" s="6" t="s">
        <v>2578</v>
      </c>
      <c r="O174" s="6"/>
      <c r="P174" s="6"/>
      <c r="Q174" s="6"/>
      <c r="R174" s="83" t="s">
        <v>1336</v>
      </c>
      <c r="S174" s="6"/>
      <c r="T174" s="6" t="s">
        <v>89</v>
      </c>
      <c r="U174" s="100" t="s">
        <v>1461</v>
      </c>
      <c r="V174" s="2" t="s">
        <v>1233</v>
      </c>
      <c r="W174" s="6"/>
      <c r="X174" s="6"/>
      <c r="Y174" s="110" t="s">
        <v>2579</v>
      </c>
      <c r="Z174" s="6"/>
      <c r="AA174" s="6" t="s">
        <v>252</v>
      </c>
      <c r="AB174" s="134">
        <v>45887</v>
      </c>
      <c r="AC174" s="110" t="s">
        <v>1338</v>
      </c>
      <c r="AD174" s="6" t="s">
        <v>58</v>
      </c>
      <c r="AE174" s="110" t="s">
        <v>2579</v>
      </c>
      <c r="AF174" s="134"/>
      <c r="AG174" s="341"/>
      <c r="AH174" s="341"/>
      <c r="AI174" s="341"/>
      <c r="AJ174" s="342"/>
      <c r="AK174" s="32"/>
      <c r="AL174" s="233"/>
      <c r="AM174" s="233"/>
    </row>
    <row r="175" spans="2:39" s="104" customFormat="1" ht="121.5" x14ac:dyDescent="0.2">
      <c r="B175" s="269"/>
      <c r="C175" s="369" t="s">
        <v>2580</v>
      </c>
      <c r="D175" s="339" t="s">
        <v>2581</v>
      </c>
      <c r="E175" s="313" t="s">
        <v>813</v>
      </c>
      <c r="F175" s="135" t="s">
        <v>2582</v>
      </c>
      <c r="G175" s="313" t="s">
        <v>271</v>
      </c>
      <c r="H175" s="297" t="s">
        <v>161</v>
      </c>
      <c r="I175" s="313" t="s">
        <v>162</v>
      </c>
      <c r="J175" s="297" t="s">
        <v>1312</v>
      </c>
      <c r="K175" s="298">
        <v>45887</v>
      </c>
      <c r="L175" s="340" t="s">
        <v>2583</v>
      </c>
      <c r="M175" s="6" t="s">
        <v>2584</v>
      </c>
      <c r="N175" s="6" t="s">
        <v>2585</v>
      </c>
      <c r="O175" s="6"/>
      <c r="P175" s="6"/>
      <c r="Q175" s="6"/>
      <c r="R175" s="83" t="s">
        <v>1336</v>
      </c>
      <c r="S175" s="6"/>
      <c r="T175" s="6" t="s">
        <v>89</v>
      </c>
      <c r="U175" s="100" t="s">
        <v>1461</v>
      </c>
      <c r="V175" s="2" t="s">
        <v>1233</v>
      </c>
      <c r="W175" s="6"/>
      <c r="X175" s="6"/>
      <c r="Y175" s="110" t="s">
        <v>2586</v>
      </c>
      <c r="Z175" s="6"/>
      <c r="AA175" s="6" t="s">
        <v>252</v>
      </c>
      <c r="AB175" s="134">
        <v>45887</v>
      </c>
      <c r="AC175" s="110" t="s">
        <v>1338</v>
      </c>
      <c r="AD175" s="6" t="s">
        <v>58</v>
      </c>
      <c r="AE175" s="110" t="s">
        <v>2586</v>
      </c>
      <c r="AF175" s="134"/>
      <c r="AG175" s="341"/>
      <c r="AH175" s="341"/>
      <c r="AI175" s="341"/>
      <c r="AJ175" s="342"/>
      <c r="AK175" s="32"/>
      <c r="AL175" s="233"/>
      <c r="AM175" s="233"/>
    </row>
    <row r="176" spans="2:39" s="104" customFormat="1" ht="316.39999999999998" customHeight="1" x14ac:dyDescent="0.2">
      <c r="B176" s="269"/>
      <c r="C176" s="369" t="s">
        <v>2587</v>
      </c>
      <c r="D176" s="339" t="s">
        <v>2588</v>
      </c>
      <c r="E176" s="313" t="s">
        <v>813</v>
      </c>
      <c r="F176" s="135" t="s">
        <v>2589</v>
      </c>
      <c r="G176" s="313" t="s">
        <v>82</v>
      </c>
      <c r="H176" s="297" t="s">
        <v>285</v>
      </c>
      <c r="I176" s="313" t="s">
        <v>260</v>
      </c>
      <c r="J176" s="297" t="s">
        <v>99</v>
      </c>
      <c r="K176" s="298">
        <v>45890</v>
      </c>
      <c r="L176" s="340" t="s">
        <v>2590</v>
      </c>
      <c r="M176" s="6" t="s">
        <v>2591</v>
      </c>
      <c r="N176" s="6" t="s">
        <v>2592</v>
      </c>
      <c r="O176" s="6"/>
      <c r="P176" s="6"/>
      <c r="Q176" s="6"/>
      <c r="R176" s="83" t="s">
        <v>1336</v>
      </c>
      <c r="S176" s="6"/>
      <c r="T176" s="6" t="s">
        <v>89</v>
      </c>
      <c r="U176" s="100" t="s">
        <v>1461</v>
      </c>
      <c r="V176" s="2" t="s">
        <v>1233</v>
      </c>
      <c r="W176" s="6"/>
      <c r="X176" s="6"/>
      <c r="Y176" s="131" t="s">
        <v>2593</v>
      </c>
      <c r="Z176" s="6" t="s">
        <v>2594</v>
      </c>
      <c r="AA176" s="6" t="s">
        <v>2538</v>
      </c>
      <c r="AB176" s="134">
        <v>45890</v>
      </c>
      <c r="AC176" s="110" t="s">
        <v>1338</v>
      </c>
      <c r="AD176" s="6" t="s">
        <v>58</v>
      </c>
      <c r="AE176" s="131" t="s">
        <v>2595</v>
      </c>
      <c r="AF176" s="134"/>
      <c r="AG176" s="341"/>
      <c r="AH176" s="341"/>
      <c r="AI176" s="341"/>
      <c r="AJ176" s="342"/>
      <c r="AK176" s="32"/>
      <c r="AL176" s="233"/>
      <c r="AM176" s="233"/>
    </row>
    <row r="177" spans="2:39" s="104" customFormat="1" ht="43.5" customHeight="1" x14ac:dyDescent="0.2">
      <c r="B177" s="269"/>
      <c r="C177" s="370" t="s">
        <v>2596</v>
      </c>
      <c r="D177" s="339"/>
      <c r="E177" s="313"/>
      <c r="F177" s="135" t="s">
        <v>2597</v>
      </c>
      <c r="G177" s="313"/>
      <c r="H177" s="297"/>
      <c r="I177" s="313"/>
      <c r="J177" s="297"/>
      <c r="K177" s="298"/>
      <c r="L177" s="340"/>
      <c r="M177" s="6"/>
      <c r="N177" s="6"/>
      <c r="O177" s="6"/>
      <c r="P177" s="6"/>
      <c r="Q177" s="6"/>
      <c r="R177" s="83" t="s">
        <v>1336</v>
      </c>
      <c r="S177" s="6"/>
      <c r="T177" s="6"/>
      <c r="U177" s="100" t="s">
        <v>1461</v>
      </c>
      <c r="V177" s="2" t="s">
        <v>1233</v>
      </c>
      <c r="W177" s="6"/>
      <c r="X177" s="6"/>
      <c r="Y177" s="131"/>
      <c r="Z177" s="6"/>
      <c r="AA177" s="6"/>
      <c r="AB177" s="134"/>
      <c r="AC177" s="110"/>
      <c r="AD177" s="6"/>
      <c r="AE177" s="131"/>
      <c r="AF177" s="134"/>
      <c r="AG177" s="341"/>
      <c r="AH177" s="341"/>
      <c r="AI177" s="341"/>
      <c r="AJ177" s="342"/>
      <c r="AK177" s="32"/>
      <c r="AL177" s="233"/>
      <c r="AM177" s="233"/>
    </row>
    <row r="178" spans="2:39" s="104" customFormat="1" ht="43.5" customHeight="1" x14ac:dyDescent="0.2">
      <c r="B178" s="269"/>
      <c r="C178" s="370" t="s">
        <v>335</v>
      </c>
      <c r="D178" s="339"/>
      <c r="E178" s="313"/>
      <c r="F178" s="135" t="s">
        <v>2598</v>
      </c>
      <c r="G178" s="313"/>
      <c r="H178" s="297"/>
      <c r="I178" s="313"/>
      <c r="J178" s="297"/>
      <c r="K178" s="298"/>
      <c r="L178" s="340"/>
      <c r="M178" s="6" t="s">
        <v>646</v>
      </c>
      <c r="N178" s="6"/>
      <c r="O178" s="6"/>
      <c r="P178" s="6" t="s">
        <v>53</v>
      </c>
      <c r="Q178" s="6" t="s">
        <v>197</v>
      </c>
      <c r="R178" s="83" t="s">
        <v>2599</v>
      </c>
      <c r="S178" s="6"/>
      <c r="T178" s="6"/>
      <c r="U178" s="100"/>
      <c r="V178" s="2"/>
      <c r="W178" s="6"/>
      <c r="X178" s="6" t="s">
        <v>446</v>
      </c>
      <c r="Y178" s="131" t="s">
        <v>2600</v>
      </c>
      <c r="Z178" s="6" t="s">
        <v>2601</v>
      </c>
      <c r="AA178" s="6" t="s">
        <v>2602</v>
      </c>
      <c r="AB178" s="134">
        <v>46070</v>
      </c>
      <c r="AC178" s="110" t="s">
        <v>2603</v>
      </c>
      <c r="AD178" s="6" t="s">
        <v>58</v>
      </c>
      <c r="AE178" s="131" t="s">
        <v>2600</v>
      </c>
      <c r="AF178" s="134" t="s">
        <v>2604</v>
      </c>
      <c r="AG178" s="341"/>
      <c r="AH178" s="341"/>
      <c r="AI178" s="341"/>
      <c r="AJ178" s="342"/>
      <c r="AK178" s="32"/>
      <c r="AL178" s="233"/>
      <c r="AM178" s="233"/>
    </row>
    <row r="179" spans="2:39" s="7" customFormat="1" x14ac:dyDescent="0.2">
      <c r="B179" s="152" t="s">
        <v>61</v>
      </c>
      <c r="C179" s="368" t="s">
        <v>61</v>
      </c>
      <c r="D179" s="46"/>
      <c r="E179" s="32" t="s">
        <v>61</v>
      </c>
      <c r="F179" s="32" t="s">
        <v>61</v>
      </c>
      <c r="G179" s="32" t="s">
        <v>61</v>
      </c>
      <c r="H179" s="32" t="s">
        <v>61</v>
      </c>
      <c r="I179" s="32" t="s">
        <v>61</v>
      </c>
      <c r="J179" s="32" t="s">
        <v>61</v>
      </c>
      <c r="K179" s="32" t="s">
        <v>61</v>
      </c>
      <c r="L179" s="32" t="s">
        <v>61</v>
      </c>
      <c r="M179" s="32" t="s">
        <v>61</v>
      </c>
      <c r="N179" s="32" t="s">
        <v>61</v>
      </c>
      <c r="O179" s="32" t="s">
        <v>61</v>
      </c>
      <c r="P179" s="32" t="s">
        <v>61</v>
      </c>
      <c r="Q179" s="32" t="s">
        <v>61</v>
      </c>
      <c r="R179" s="32" t="s">
        <v>61</v>
      </c>
      <c r="S179" s="32" t="s">
        <v>61</v>
      </c>
      <c r="T179" s="32" t="s">
        <v>61</v>
      </c>
      <c r="U179" s="32" t="s">
        <v>61</v>
      </c>
      <c r="V179" s="32" t="s">
        <v>61</v>
      </c>
      <c r="W179" s="32" t="s">
        <v>61</v>
      </c>
      <c r="X179" s="32" t="s">
        <v>61</v>
      </c>
      <c r="Y179" s="32" t="s">
        <v>61</v>
      </c>
      <c r="Z179" s="32" t="s">
        <v>61</v>
      </c>
      <c r="AA179" s="32" t="s">
        <v>61</v>
      </c>
      <c r="AB179" s="32" t="s">
        <v>61</v>
      </c>
      <c r="AC179" s="32" t="s">
        <v>61</v>
      </c>
      <c r="AD179" s="32" t="s">
        <v>61</v>
      </c>
      <c r="AE179" s="32" t="s">
        <v>61</v>
      </c>
      <c r="AF179" s="32" t="s">
        <v>61</v>
      </c>
      <c r="AG179" s="32" t="s">
        <v>61</v>
      </c>
      <c r="AH179" s="32" t="s">
        <v>61</v>
      </c>
      <c r="AI179" s="32" t="s">
        <v>61</v>
      </c>
      <c r="AJ179" s="32" t="s">
        <v>61</v>
      </c>
      <c r="AK179"/>
      <c r="AL179" s="50"/>
      <c r="AM179" s="50"/>
    </row>
    <row r="180" spans="2:39" x14ac:dyDescent="0.2">
      <c r="C180" s="368"/>
    </row>
    <row r="181" spans="2:39" x14ac:dyDescent="0.2">
      <c r="C181" s="368"/>
    </row>
    <row r="182" spans="2:39" x14ac:dyDescent="0.2">
      <c r="C182" s="368"/>
    </row>
    <row r="183" spans="2:39" x14ac:dyDescent="0.2">
      <c r="C183" s="368"/>
    </row>
    <row r="184" spans="2:39" x14ac:dyDescent="0.2">
      <c r="C184" s="368"/>
      <c r="H184" s="153"/>
    </row>
    <row r="185" spans="2:39" x14ac:dyDescent="0.2">
      <c r="C185" s="368"/>
    </row>
    <row r="186" spans="2:39" x14ac:dyDescent="0.2">
      <c r="C186" s="368"/>
    </row>
    <row r="187" spans="2:39" x14ac:dyDescent="0.2">
      <c r="C187" s="368"/>
    </row>
    <row r="188" spans="2:39" x14ac:dyDescent="0.2">
      <c r="C188" s="368"/>
    </row>
    <row r="189" spans="2:39" x14ac:dyDescent="0.2">
      <c r="C189" s="368"/>
    </row>
    <row r="190" spans="2:39" x14ac:dyDescent="0.2">
      <c r="C190" s="368"/>
    </row>
    <row r="191" spans="2:39" x14ac:dyDescent="0.2">
      <c r="C191" s="368"/>
    </row>
    <row r="193" spans="1:42" s="163" customFormat="1" x14ac:dyDescent="0.2">
      <c r="A193" s="154"/>
      <c r="B193" s="154" t="s">
        <v>1330</v>
      </c>
      <c r="C193" s="155"/>
      <c r="D193" s="155" t="s">
        <v>1331</v>
      </c>
      <c r="E193" s="156" t="s">
        <v>255</v>
      </c>
      <c r="F193" s="157" t="s">
        <v>1332</v>
      </c>
      <c r="G193" s="156" t="s">
        <v>271</v>
      </c>
      <c r="H193" s="158" t="s">
        <v>161</v>
      </c>
      <c r="I193" s="156" t="s">
        <v>162</v>
      </c>
      <c r="J193" s="158" t="s">
        <v>1312</v>
      </c>
      <c r="K193" s="159">
        <v>45887</v>
      </c>
      <c r="L193" s="156" t="s">
        <v>1333</v>
      </c>
      <c r="M193" s="158" t="s">
        <v>1334</v>
      </c>
      <c r="N193" s="158" t="s">
        <v>1335</v>
      </c>
      <c r="O193" s="156"/>
      <c r="P193" s="158"/>
      <c r="Q193" s="158"/>
      <c r="R193" s="156" t="s">
        <v>1336</v>
      </c>
      <c r="S193" s="158"/>
      <c r="T193" s="158"/>
      <c r="U193" s="158"/>
      <c r="V193" s="158"/>
      <c r="W193" s="158"/>
      <c r="X193" s="158"/>
      <c r="Y193" s="156" t="s">
        <v>1337</v>
      </c>
      <c r="Z193" s="156"/>
      <c r="AA193" s="158" t="s">
        <v>252</v>
      </c>
      <c r="AB193" s="158">
        <v>45887</v>
      </c>
      <c r="AC193" s="156" t="s">
        <v>1338</v>
      </c>
      <c r="AD193" s="160" t="s">
        <v>58</v>
      </c>
      <c r="AE193" s="156"/>
      <c r="AF193" s="156"/>
      <c r="AG193" s="158"/>
      <c r="AH193" s="158"/>
      <c r="AI193" s="158"/>
      <c r="AJ193" s="158"/>
      <c r="AK193" s="161"/>
      <c r="AL193" s="162"/>
      <c r="AM193" s="162"/>
      <c r="AN193" s="154"/>
      <c r="AO193" s="154"/>
      <c r="AP193" s="154"/>
    </row>
  </sheetData>
  <autoFilter ref="A3:AP179" xr:uid="{81E73460-4553-436D-BFC6-69C4709D7F2C}"/>
  <mergeCells count="2">
    <mergeCell ref="E1:G1"/>
    <mergeCell ref="H1:J1"/>
  </mergeCells>
  <phoneticPr fontId="2"/>
  <conditionalFormatting sqref="C4:AM178 B179:AM179">
    <cfRule type="expression" dxfId="0" priority="2">
      <formula>OR($T4="取り下げ",$T4="移管",$T4="保留")</formula>
    </cfRule>
  </conditionalFormatting>
  <dataValidations count="1">
    <dataValidation type="list" allowBlank="1" showInputMessage="1" showErrorMessage="1" sqref="G13:G16 G9:G10 G18 G32 G20 G29 G89:G90 G60:G61 G69 G78:G79 G34:G46" xr:uid="{8EF9ABD2-D8C6-412A-B4DA-C6D7E9523E0C}">
      <formula1>"機能追加,機能改善,要件不備対応,仕様不備対応"</formula1>
    </dataValidation>
  </dataValidations>
  <hyperlinks>
    <hyperlink ref="W163" r:id="rId1" display="https://teams.microsoft.com/l/message/19:c04747c02cdc4746b95e845f44b24d76@thread.tacv2/1756286937473?tenantId=c4f5cfcd-2672-4991-98f8-877042f5c9b3&amp;groupId=1b611ff1-725f-4c25-a52a-db90793cf4bb&amp;parentMessageId=1756286937473&amp;teamName=%E9%9B%BB%E5%AD%90%E3%82%AB%E3%83%AB%E3%83%86%E6%83%85%E5%A0%B1%E5%85%B1%E6%9C%89%E3%82%B5%E3%83%BC%E3%83%93%E3%82%B9%EF%BC%88%E5%A4%96%E9%83%A8%EF%BC%89&amp;channelName=020_%E5%8E%9A%E5%8A%B4%E7%9C%81%E3%83%BB%E5%9F%BA%E9%87%91%E3%83%BB%E4%BA%8B%E6%A5%AD%E8%80%85&amp;createdTime=1756286937473&amp;ngc=true" xr:uid="{13FD95A1-93C9-4FB7-8920-27A07DA0AE82}"/>
  </hyperlinks>
  <pageMargins left="0.25" right="0.25" top="0.75" bottom="0.75" header="0.3" footer="0.3"/>
  <pageSetup paperSize="8" fitToHeight="0" orientation="landscape" r:id="rId2"/>
  <drawing r:id="rId3"/>
  <legacy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1FB1E-C2FC-476D-84C9-890EB8BC6538}">
  <sheetPr codeName="Sheet6"/>
  <dimension ref="B2:I65"/>
  <sheetViews>
    <sheetView topLeftCell="A6" zoomScaleNormal="100" workbookViewId="0">
      <selection activeCell="D18" sqref="D18"/>
    </sheetView>
  </sheetViews>
  <sheetFormatPr defaultRowHeight="13" x14ac:dyDescent="0.2"/>
  <cols>
    <col min="4" max="4" width="41.08984375" customWidth="1"/>
    <col min="5" max="5" width="35.90625" customWidth="1"/>
    <col min="6" max="6" width="11" customWidth="1"/>
    <col min="7" max="7" width="26.08984375" customWidth="1"/>
    <col min="8" max="8" width="28.08984375" customWidth="1"/>
  </cols>
  <sheetData>
    <row r="2" spans="2:8" ht="13.5" x14ac:dyDescent="0.2">
      <c r="B2" s="171" t="s">
        <v>2605</v>
      </c>
      <c r="C2" s="171" t="s">
        <v>2606</v>
      </c>
      <c r="D2" s="171" t="s">
        <v>2607</v>
      </c>
      <c r="E2" s="171"/>
    </row>
    <row r="3" spans="2:8" ht="13.5" x14ac:dyDescent="0.2">
      <c r="B3" s="502"/>
      <c r="C3" s="504" t="s">
        <v>2608</v>
      </c>
      <c r="D3" s="172" t="s">
        <v>2609</v>
      </c>
      <c r="E3" s="506"/>
    </row>
    <row r="4" spans="2:8" ht="27" x14ac:dyDescent="0.2">
      <c r="B4" s="503"/>
      <c r="C4" s="505"/>
      <c r="D4" s="173" t="s">
        <v>2610</v>
      </c>
      <c r="E4" s="507"/>
      <c r="H4" s="180" t="s">
        <v>2611</v>
      </c>
    </row>
    <row r="5" spans="2:8" ht="27" x14ac:dyDescent="0.2">
      <c r="B5" s="502"/>
      <c r="C5" s="504" t="s">
        <v>2612</v>
      </c>
      <c r="D5" s="172" t="s">
        <v>2613</v>
      </c>
      <c r="E5" s="506"/>
      <c r="H5" s="180" t="s">
        <v>2614</v>
      </c>
    </row>
    <row r="6" spans="2:8" ht="54" x14ac:dyDescent="0.2">
      <c r="B6" s="508"/>
      <c r="C6" s="509"/>
      <c r="D6" s="174" t="s">
        <v>2615</v>
      </c>
      <c r="E6" s="510"/>
    </row>
    <row r="7" spans="2:8" ht="13.5" x14ac:dyDescent="0.2">
      <c r="B7" s="503"/>
      <c r="C7" s="505"/>
      <c r="D7" s="173"/>
      <c r="E7" s="507"/>
    </row>
    <row r="8" spans="2:8" ht="27" x14ac:dyDescent="0.2">
      <c r="B8" s="502"/>
      <c r="C8" s="504" t="s">
        <v>2616</v>
      </c>
      <c r="D8" s="172" t="s">
        <v>2617</v>
      </c>
      <c r="E8" s="506"/>
    </row>
    <row r="9" spans="2:8" ht="40.5" x14ac:dyDescent="0.2">
      <c r="B9" s="503"/>
      <c r="C9" s="505"/>
      <c r="D9" s="173" t="s">
        <v>2618</v>
      </c>
      <c r="E9" s="507"/>
    </row>
    <row r="10" spans="2:8" ht="13.5" x14ac:dyDescent="0.2">
      <c r="B10" s="502"/>
      <c r="C10" s="504" t="s">
        <v>2619</v>
      </c>
      <c r="D10" s="172" t="s">
        <v>2620</v>
      </c>
      <c r="E10" s="511"/>
    </row>
    <row r="11" spans="2:8" ht="40.5" x14ac:dyDescent="0.2">
      <c r="B11" s="503"/>
      <c r="C11" s="505"/>
      <c r="D11" s="173" t="s">
        <v>2621</v>
      </c>
      <c r="E11" s="512"/>
    </row>
    <row r="12" spans="2:8" ht="22.5" x14ac:dyDescent="0.2">
      <c r="B12" s="175"/>
      <c r="C12" s="176" t="s">
        <v>2619</v>
      </c>
      <c r="D12" s="177" t="s">
        <v>2622</v>
      </c>
      <c r="E12" s="178"/>
    </row>
    <row r="13" spans="2:8" ht="22.5" x14ac:dyDescent="0.2">
      <c r="B13" s="175"/>
      <c r="C13" s="176" t="s">
        <v>2619</v>
      </c>
      <c r="D13" s="179" t="s">
        <v>2623</v>
      </c>
      <c r="E13" s="178"/>
    </row>
    <row r="14" spans="2:8" ht="13.5" x14ac:dyDescent="0.2">
      <c r="B14" s="502"/>
      <c r="C14" s="504" t="s">
        <v>2619</v>
      </c>
      <c r="D14" s="172" t="s">
        <v>2624</v>
      </c>
      <c r="E14" s="511"/>
    </row>
    <row r="15" spans="2:8" ht="40.5" x14ac:dyDescent="0.2">
      <c r="B15" s="503"/>
      <c r="C15" s="505"/>
      <c r="D15" s="173" t="s">
        <v>2621</v>
      </c>
      <c r="E15" s="512"/>
    </row>
    <row r="16" spans="2:8" ht="27" x14ac:dyDescent="0.2">
      <c r="B16" s="502"/>
      <c r="C16" s="504" t="s">
        <v>2619</v>
      </c>
      <c r="D16" s="172" t="s">
        <v>2625</v>
      </c>
      <c r="E16" s="511"/>
    </row>
    <row r="17" spans="2:8" ht="40.5" x14ac:dyDescent="0.2">
      <c r="B17" s="503"/>
      <c r="C17" s="505"/>
      <c r="D17" s="173" t="s">
        <v>2621</v>
      </c>
      <c r="E17" s="512"/>
    </row>
    <row r="18" spans="2:8" ht="22.5" x14ac:dyDescent="0.2">
      <c r="B18" s="175"/>
      <c r="C18" s="176" t="s">
        <v>2619</v>
      </c>
      <c r="D18" s="179" t="s">
        <v>2622</v>
      </c>
      <c r="E18" s="178"/>
    </row>
    <row r="19" spans="2:8" ht="22.5" x14ac:dyDescent="0.2">
      <c r="B19" s="175"/>
      <c r="C19" s="176" t="s">
        <v>2619</v>
      </c>
      <c r="D19" s="179" t="s">
        <v>2626</v>
      </c>
      <c r="E19" s="178"/>
    </row>
    <row r="20" spans="2:8" ht="27" x14ac:dyDescent="0.2">
      <c r="B20" s="175"/>
      <c r="C20" s="176" t="s">
        <v>139</v>
      </c>
      <c r="D20" s="177" t="s">
        <v>2627</v>
      </c>
      <c r="E20" s="179" t="s">
        <v>2628</v>
      </c>
    </row>
    <row r="21" spans="2:8" ht="40.5" x14ac:dyDescent="0.2">
      <c r="B21" s="175"/>
      <c r="C21" s="176" t="s">
        <v>2619</v>
      </c>
      <c r="D21" s="179" t="s">
        <v>2629</v>
      </c>
      <c r="E21" s="178"/>
    </row>
    <row r="26" spans="2:8" ht="15" x14ac:dyDescent="0.2">
      <c r="D26" s="182" t="s">
        <v>2630</v>
      </c>
      <c r="E26" s="182" t="s">
        <v>2631</v>
      </c>
      <c r="F26" s="182" t="s">
        <v>2632</v>
      </c>
      <c r="G26" s="182" t="s">
        <v>2633</v>
      </c>
      <c r="H26" s="182" t="s">
        <v>2634</v>
      </c>
    </row>
    <row r="27" spans="2:8" ht="15" x14ac:dyDescent="0.2">
      <c r="D27" s="183" t="s">
        <v>660</v>
      </c>
      <c r="E27" s="184" t="s">
        <v>2635</v>
      </c>
      <c r="F27" s="183" t="s">
        <v>2636</v>
      </c>
      <c r="G27" s="183" t="s">
        <v>2637</v>
      </c>
      <c r="H27" s="183" t="s">
        <v>2637</v>
      </c>
    </row>
    <row r="28" spans="2:8" ht="15" x14ac:dyDescent="0.2">
      <c r="D28" s="183" t="s">
        <v>2638</v>
      </c>
      <c r="E28" s="184" t="s">
        <v>2635</v>
      </c>
      <c r="F28" s="183" t="s">
        <v>2636</v>
      </c>
      <c r="G28" s="183" t="s">
        <v>574</v>
      </c>
      <c r="H28" s="183" t="s">
        <v>574</v>
      </c>
    </row>
    <row r="29" spans="2:8" ht="15" x14ac:dyDescent="0.2">
      <c r="D29" s="183" t="s">
        <v>881</v>
      </c>
      <c r="E29" s="184" t="s">
        <v>2635</v>
      </c>
      <c r="F29" s="183" t="s">
        <v>2636</v>
      </c>
      <c r="G29" s="183" t="s">
        <v>2637</v>
      </c>
      <c r="H29" s="183" t="s">
        <v>2637</v>
      </c>
    </row>
    <row r="30" spans="2:8" ht="15" x14ac:dyDescent="0.2">
      <c r="D30" s="183" t="s">
        <v>2639</v>
      </c>
      <c r="E30" s="184" t="s">
        <v>2635</v>
      </c>
      <c r="F30" s="183" t="s">
        <v>2636</v>
      </c>
      <c r="G30" s="183" t="s">
        <v>574</v>
      </c>
      <c r="H30" s="183" t="s">
        <v>574</v>
      </c>
    </row>
    <row r="31" spans="2:8" ht="15" x14ac:dyDescent="0.2">
      <c r="D31" s="183" t="s">
        <v>2640</v>
      </c>
      <c r="E31" s="184" t="s">
        <v>2635</v>
      </c>
      <c r="F31" s="183" t="s">
        <v>2636</v>
      </c>
      <c r="G31" s="183" t="s">
        <v>2637</v>
      </c>
      <c r="H31" s="183" t="s">
        <v>2637</v>
      </c>
    </row>
    <row r="32" spans="2:8" ht="15" x14ac:dyDescent="0.2">
      <c r="D32" s="183" t="s">
        <v>2641</v>
      </c>
      <c r="E32" s="184" t="s">
        <v>2635</v>
      </c>
      <c r="F32" s="183" t="s">
        <v>2636</v>
      </c>
      <c r="G32" s="183" t="s">
        <v>574</v>
      </c>
      <c r="H32" s="183" t="s">
        <v>574</v>
      </c>
    </row>
    <row r="33" spans="4:9" ht="30" x14ac:dyDescent="0.2">
      <c r="D33" s="185" t="s">
        <v>2642</v>
      </c>
      <c r="E33" s="184" t="s">
        <v>2635</v>
      </c>
      <c r="F33" s="183" t="s">
        <v>2636</v>
      </c>
      <c r="G33" s="183" t="s">
        <v>2643</v>
      </c>
      <c r="H33" s="183" t="s">
        <v>2643</v>
      </c>
    </row>
    <row r="34" spans="4:9" ht="45" x14ac:dyDescent="0.2">
      <c r="D34" s="345" t="s">
        <v>2644</v>
      </c>
      <c r="E34" s="346" t="s">
        <v>2635</v>
      </c>
      <c r="F34" s="345" t="s">
        <v>2636</v>
      </c>
      <c r="G34" s="345" t="s">
        <v>135</v>
      </c>
      <c r="H34" s="345" t="s">
        <v>2645</v>
      </c>
    </row>
    <row r="35" spans="4:9" ht="15" x14ac:dyDescent="0.2">
      <c r="D35" s="183" t="s">
        <v>2646</v>
      </c>
      <c r="E35" s="184" t="s">
        <v>2635</v>
      </c>
      <c r="F35" s="183" t="s">
        <v>2636</v>
      </c>
      <c r="G35" s="183" t="s">
        <v>2647</v>
      </c>
      <c r="H35" s="183" t="s">
        <v>2647</v>
      </c>
    </row>
    <row r="37" spans="4:9" ht="15" x14ac:dyDescent="0.2">
      <c r="D37" s="347" t="s">
        <v>2648</v>
      </c>
      <c r="G37" s="344"/>
      <c r="H37" s="344"/>
    </row>
    <row r="38" spans="4:9" x14ac:dyDescent="0.2">
      <c r="D38" t="s">
        <v>2649</v>
      </c>
    </row>
    <row r="39" spans="4:9" x14ac:dyDescent="0.2">
      <c r="D39" t="s">
        <v>2650</v>
      </c>
    </row>
    <row r="40" spans="4:9" x14ac:dyDescent="0.2">
      <c r="E40" s="181"/>
      <c r="F40" s="181"/>
    </row>
    <row r="41" spans="4:9" x14ac:dyDescent="0.2">
      <c r="D41" s="181"/>
      <c r="E41" s="181"/>
      <c r="F41" s="181"/>
    </row>
    <row r="42" spans="4:9" x14ac:dyDescent="0.2">
      <c r="D42" s="181"/>
      <c r="E42" s="181"/>
      <c r="F42" s="181"/>
    </row>
    <row r="43" spans="4:9" x14ac:dyDescent="0.2">
      <c r="D43" s="499" t="s">
        <v>2651</v>
      </c>
      <c r="E43" s="499" t="s">
        <v>2652</v>
      </c>
      <c r="F43" s="499" t="s">
        <v>2653</v>
      </c>
      <c r="G43" s="498" t="s">
        <v>2654</v>
      </c>
      <c r="H43" s="498"/>
    </row>
    <row r="44" spans="4:9" ht="15" x14ac:dyDescent="0.2">
      <c r="D44" s="499"/>
      <c r="E44" s="499"/>
      <c r="F44" s="499"/>
      <c r="G44" s="343" t="s">
        <v>2655</v>
      </c>
      <c r="H44" s="343" t="s">
        <v>2656</v>
      </c>
    </row>
    <row r="45" spans="4:9" ht="30" x14ac:dyDescent="0.2">
      <c r="D45" s="183" t="s">
        <v>2657</v>
      </c>
      <c r="E45" s="183" t="s">
        <v>2658</v>
      </c>
      <c r="F45" s="183" t="s">
        <v>2659</v>
      </c>
      <c r="G45" s="183" t="s">
        <v>2660</v>
      </c>
      <c r="H45" s="183" t="s">
        <v>574</v>
      </c>
    </row>
    <row r="46" spans="4:9" ht="30" x14ac:dyDescent="0.2">
      <c r="D46" s="183" t="s">
        <v>2661</v>
      </c>
      <c r="E46" s="183" t="s">
        <v>2662</v>
      </c>
      <c r="F46" s="183" t="s">
        <v>2659</v>
      </c>
      <c r="G46" s="183" t="s">
        <v>2660</v>
      </c>
      <c r="H46" s="183" t="s">
        <v>574</v>
      </c>
    </row>
    <row r="47" spans="4:9" ht="13.5" customHeight="1" x14ac:dyDescent="0.2">
      <c r="D47" s="183" t="s">
        <v>2663</v>
      </c>
      <c r="E47" s="183" t="s">
        <v>2664</v>
      </c>
      <c r="F47" s="183" t="s">
        <v>2665</v>
      </c>
      <c r="G47" s="183" t="s">
        <v>2666</v>
      </c>
      <c r="H47" s="183" t="s">
        <v>2667</v>
      </c>
      <c r="I47" t="s">
        <v>2668</v>
      </c>
    </row>
    <row r="48" spans="4:9" ht="13.5" customHeight="1" x14ac:dyDescent="0.2">
      <c r="D48" s="183" t="s">
        <v>79</v>
      </c>
      <c r="E48" s="183" t="s">
        <v>2669</v>
      </c>
      <c r="F48" s="183" t="s">
        <v>2665</v>
      </c>
      <c r="G48" s="183" t="s">
        <v>2660</v>
      </c>
      <c r="H48" s="183" t="s">
        <v>2670</v>
      </c>
    </row>
    <row r="49" spans="4:9" ht="30" x14ac:dyDescent="0.2">
      <c r="D49" s="183" t="s">
        <v>2646</v>
      </c>
      <c r="E49" s="183" t="s">
        <v>2664</v>
      </c>
      <c r="F49" s="183" t="s">
        <v>2665</v>
      </c>
      <c r="G49" s="183" t="s">
        <v>2660</v>
      </c>
      <c r="H49" s="183" t="s">
        <v>2671</v>
      </c>
    </row>
    <row r="51" spans="4:9" ht="52" x14ac:dyDescent="0.2">
      <c r="D51" s="181" t="s">
        <v>2672</v>
      </c>
    </row>
    <row r="55" spans="4:9" ht="13.5" customHeight="1" x14ac:dyDescent="0.2"/>
    <row r="56" spans="4:9" ht="13.5" customHeight="1" x14ac:dyDescent="0.2"/>
    <row r="58" spans="4:9" ht="15" x14ac:dyDescent="0.2">
      <c r="I58" s="185" t="s">
        <v>2637</v>
      </c>
    </row>
    <row r="60" spans="4:9" ht="15" x14ac:dyDescent="0.2">
      <c r="D60" s="500" t="s">
        <v>2661</v>
      </c>
      <c r="E60" s="500" t="s">
        <v>2662</v>
      </c>
      <c r="F60" s="501" t="s">
        <v>2665</v>
      </c>
      <c r="G60" s="183" t="s">
        <v>2673</v>
      </c>
      <c r="H60" s="183" t="s">
        <v>2674</v>
      </c>
    </row>
    <row r="61" spans="4:9" ht="15" x14ac:dyDescent="0.2">
      <c r="D61" s="500"/>
      <c r="E61" s="500"/>
      <c r="F61" s="501"/>
      <c r="G61" s="183" t="s">
        <v>2673</v>
      </c>
      <c r="H61" s="183" t="s">
        <v>2674</v>
      </c>
    </row>
    <row r="62" spans="4:9" ht="30" x14ac:dyDescent="0.2">
      <c r="D62" s="183" t="s">
        <v>2663</v>
      </c>
      <c r="E62" s="183" t="s">
        <v>2664</v>
      </c>
      <c r="F62" s="183" t="s">
        <v>2665</v>
      </c>
      <c r="G62" s="183" t="s">
        <v>2666</v>
      </c>
      <c r="H62" s="183" t="s">
        <v>2667</v>
      </c>
    </row>
    <row r="63" spans="4:9" ht="15" x14ac:dyDescent="0.2">
      <c r="D63" s="183"/>
      <c r="E63" s="183"/>
      <c r="F63" s="183"/>
      <c r="G63" s="183"/>
      <c r="H63" s="183"/>
    </row>
    <row r="64" spans="4:9" ht="15" x14ac:dyDescent="0.2">
      <c r="D64" s="183" t="s">
        <v>79</v>
      </c>
      <c r="E64" s="183" t="s">
        <v>2669</v>
      </c>
      <c r="F64" s="183" t="s">
        <v>2665</v>
      </c>
      <c r="G64" s="183" t="s">
        <v>2673</v>
      </c>
      <c r="H64" s="183" t="s">
        <v>2670</v>
      </c>
    </row>
    <row r="65" spans="4:8" ht="15" x14ac:dyDescent="0.2">
      <c r="D65" s="183" t="s">
        <v>2646</v>
      </c>
      <c r="E65" s="183" t="s">
        <v>2664</v>
      </c>
      <c r="F65" s="183" t="s">
        <v>2665</v>
      </c>
      <c r="G65" s="183" t="s">
        <v>2673</v>
      </c>
      <c r="H65" s="183" t="s">
        <v>2671</v>
      </c>
    </row>
  </sheetData>
  <mergeCells count="25">
    <mergeCell ref="B14:B15"/>
    <mergeCell ref="C14:C15"/>
    <mergeCell ref="E14:E15"/>
    <mergeCell ref="B16:B17"/>
    <mergeCell ref="C16:C17"/>
    <mergeCell ref="E16:E17"/>
    <mergeCell ref="B8:B9"/>
    <mergeCell ref="C8:C9"/>
    <mergeCell ref="E8:E9"/>
    <mergeCell ref="B10:B11"/>
    <mergeCell ref="C10:C11"/>
    <mergeCell ref="E10:E11"/>
    <mergeCell ref="B3:B4"/>
    <mergeCell ref="C3:C4"/>
    <mergeCell ref="E3:E4"/>
    <mergeCell ref="B5:B7"/>
    <mergeCell ref="C5:C7"/>
    <mergeCell ref="E5:E7"/>
    <mergeCell ref="G43:H43"/>
    <mergeCell ref="D43:D44"/>
    <mergeCell ref="E43:E44"/>
    <mergeCell ref="F43:F44"/>
    <mergeCell ref="D60:D61"/>
    <mergeCell ref="E60:E61"/>
    <mergeCell ref="F60:F61"/>
  </mergeCells>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D26169CDAAF6B41B8B557D8EAD22A36" ma:contentTypeVersion="11" ma:contentTypeDescription="新しいドキュメントを作成します。" ma:contentTypeScope="" ma:versionID="a52047099d1dd8de6e74bf87a4a73917">
  <xsd:schema xmlns:xsd="http://www.w3.org/2001/XMLSchema" xmlns:xs="http://www.w3.org/2001/XMLSchema" xmlns:p="http://schemas.microsoft.com/office/2006/metadata/properties" xmlns:ns2="e356ba7c-6f75-4160-892e-139003efe231" targetNamespace="http://schemas.microsoft.com/office/2006/metadata/properties" ma:root="true" ma:fieldsID="429bb204e7b0455599c34819c2da32be" ns2:_="">
    <xsd:import namespace="e356ba7c-6f75-4160-892e-139003efe23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56ba7c-6f75-4160-892e-139003efe2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356ba7c-6f75-4160-892e-139003efe23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4F32F9D-3B32-40F8-9F8C-D31BCE756B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56ba7c-6f75-4160-892e-139003efe2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BDD9ACC-0935-4A3D-904A-13EE3517701A}">
  <ds:schemaRefs>
    <ds:schemaRef ds:uri="http://www.w3.org/XML/1998/namespace"/>
    <ds:schemaRef ds:uri="http://schemas.microsoft.com/office/2006/documentManagement/types"/>
    <ds:schemaRef ds:uri="http://purl.org/dc/dcmitype/"/>
    <ds:schemaRef ds:uri="http://purl.org/dc/terms/"/>
    <ds:schemaRef ds:uri="e356ba7c-6f75-4160-892e-139003efe231"/>
    <ds:schemaRef ds:uri="http://purl.org/dc/elements/1.1/"/>
    <ds:schemaRef ds:uri="http://schemas.microsoft.com/office/2006/metadata/properties"/>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6626376D-6CED-4BBB-A020-D7C8218AFB25}">
  <ds:schemaRefs>
    <ds:schemaRef ds:uri="http://schemas.microsoft.com/sharepoint/v3/contenttype/form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vt:i4>
      </vt:variant>
    </vt:vector>
  </HeadingPairs>
  <TitlesOfParts>
    <vt:vector size="8" baseType="lpstr">
      <vt:lpstr>案件台帳</vt:lpstr>
      <vt:lpstr>Sheet1</vt:lpstr>
      <vt:lpstr>リスト</vt:lpstr>
      <vt:lpstr>➡参考</vt:lpstr>
      <vt:lpstr>【旧】案件台帳(抜粋)</vt:lpstr>
      <vt:lpstr>【旧】案件台帳(全量)</vt:lpstr>
      <vt:lpstr>作業中）論点整理</vt:lpstr>
      <vt:lpstr>'【旧】案件台帳(全量)'!Print_Area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Honda, Keiko</dc:creator>
  <cp:keywords/>
  <dc:description/>
  <cp:lastModifiedBy>Nakazawa, Masato</cp:lastModifiedBy>
  <cp:revision>1</cp:revision>
  <dcterms:created xsi:type="dcterms:W3CDTF">2024-09-02T13:38:21Z</dcterms:created>
  <dcterms:modified xsi:type="dcterms:W3CDTF">2026-10-13T13:47:57Z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0x010100AD26169CDAAF6B41B8B557D8EAD22A36</vt:lpwstr>
  </property>
  <property fmtid="{D5CDD505-2E9C-101B-9397-08002B2CF9AE}" pid="3" name="MediaServiceImageTags">
    <vt:lpwstr/>
  </property>
  <property fmtid="{D5CDD505-2E9C-101B-9397-08002B2CF9AE}" pid="4" name="WorkbookGuid">
    <vt:lpwstr>63db2362-dff6-4a9b-a146-90b86a028326</vt:lpwstr>
  </property>
</Properties>
</file>